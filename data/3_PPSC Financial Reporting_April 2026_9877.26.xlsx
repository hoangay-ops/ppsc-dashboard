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norc.sharepoint.com/sites/9877/Shared Documents/General/Project Management/08_Budget/Reporting/Attachment 5/9877.26/"/>
    </mc:Choice>
  </mc:AlternateContent>
  <xr:revisionPtr revIDLastSave="464" documentId="8_{1F1CA520-F97C-4851-ABED-4527D8FA6093}" xr6:coauthVersionLast="47" xr6:coauthVersionMax="47" xr10:uidLastSave="{137108A3-B715-4894-BA58-DD0352E625A0}"/>
  <bookViews>
    <workbookView xWindow="-110" yWindow="-110" windowWidth="19420" windowHeight="11500" firstSheet="1" activeTab="1" xr2:uid="{E47BE861-50C1-43E8-89BC-20449F545952}"/>
  </bookViews>
  <sheets>
    <sheet name="Cognos_Office_Connection_Cache" sheetId="6" state="veryHidden" r:id="rId1"/>
    <sheet name="April 2026" sheetId="1" r:id="rId2"/>
  </sheets>
  <definedNames>
    <definedName name="ID" localSheetId="1" hidden="1">"7c8cbf80-a28b-46ed-a2a8-8d67b4506404"</definedName>
    <definedName name="ID" localSheetId="0" hidden="1">"514c73af-fee0-43e0-b805-16986bde5b78"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7" i="1" l="1"/>
  <c r="P94" i="1"/>
  <c r="P92" i="1"/>
  <c r="K211" i="1"/>
  <c r="L211" i="1"/>
  <c r="N211" i="1"/>
  <c r="O211" i="1"/>
  <c r="I213" i="1"/>
  <c r="I210" i="1"/>
  <c r="I208" i="1"/>
  <c r="J15" i="1" l="1"/>
  <c r="J19" i="1" s="1"/>
  <c r="C209" i="1"/>
  <c r="C196" i="1"/>
  <c r="C183" i="1"/>
  <c r="C171" i="1"/>
  <c r="C170" i="1"/>
  <c r="C169" i="1"/>
  <c r="C158" i="1"/>
  <c r="C157" i="1"/>
  <c r="C156" i="1"/>
  <c r="C146" i="1"/>
  <c r="C145" i="1"/>
  <c r="C144" i="1"/>
  <c r="C133" i="1"/>
  <c r="C132" i="1"/>
  <c r="C131" i="1"/>
  <c r="C120" i="1"/>
  <c r="C119" i="1"/>
  <c r="C118" i="1"/>
  <c r="C107" i="1"/>
  <c r="C106" i="1"/>
  <c r="C105" i="1"/>
  <c r="C94" i="1"/>
  <c r="C93" i="1"/>
  <c r="C92" i="1"/>
  <c r="C81" i="1"/>
  <c r="C80" i="1"/>
  <c r="C79" i="1"/>
  <c r="C68" i="1"/>
  <c r="C67" i="1"/>
  <c r="C66" i="1"/>
  <c r="C54" i="1"/>
  <c r="C53" i="1"/>
  <c r="C52" i="1"/>
  <c r="C41" i="1"/>
  <c r="C40" i="1"/>
  <c r="C39" i="1"/>
  <c r="C27" i="1"/>
  <c r="C26" i="1"/>
  <c r="C25" i="1"/>
  <c r="C14" i="1"/>
  <c r="C13" i="1"/>
  <c r="C12" i="1"/>
  <c r="H198" i="1" l="1"/>
  <c r="I198" i="1"/>
  <c r="J198" i="1"/>
  <c r="K198" i="1"/>
  <c r="L198" i="1"/>
  <c r="M198" i="1"/>
  <c r="N198" i="1"/>
  <c r="N204" i="1" s="1"/>
  <c r="O198" i="1"/>
  <c r="O204" i="1" s="1"/>
  <c r="P198" i="1"/>
  <c r="P204" i="1" s="1"/>
  <c r="R210" i="1"/>
  <c r="R209" i="1"/>
  <c r="Q209" i="1"/>
  <c r="R208" i="1"/>
  <c r="R197" i="1"/>
  <c r="R196" i="1"/>
  <c r="Q196" i="1"/>
  <c r="R183" i="1"/>
  <c r="Q183" i="1"/>
  <c r="R171" i="1"/>
  <c r="Q171" i="1"/>
  <c r="Q170" i="1"/>
  <c r="R169" i="1"/>
  <c r="Q169" i="1"/>
  <c r="R158" i="1"/>
  <c r="Q158" i="1"/>
  <c r="R157" i="1"/>
  <c r="Q157" i="1"/>
  <c r="R156" i="1"/>
  <c r="Q156" i="1"/>
  <c r="R146" i="1"/>
  <c r="Q146" i="1"/>
  <c r="R145" i="1"/>
  <c r="Q145" i="1"/>
  <c r="R144" i="1"/>
  <c r="Q144" i="1"/>
  <c r="R133" i="1"/>
  <c r="Q133" i="1"/>
  <c r="R132" i="1"/>
  <c r="Q132" i="1"/>
  <c r="R131" i="1"/>
  <c r="Q131" i="1"/>
  <c r="R120" i="1"/>
  <c r="Q120" i="1"/>
  <c r="R119" i="1"/>
  <c r="Q119" i="1"/>
  <c r="R118" i="1"/>
  <c r="Q118" i="1"/>
  <c r="R107" i="1"/>
  <c r="Q107" i="1"/>
  <c r="R106" i="1"/>
  <c r="Q106" i="1"/>
  <c r="R105" i="1"/>
  <c r="Q105" i="1"/>
  <c r="R94" i="1"/>
  <c r="Q94" i="1"/>
  <c r="R93" i="1"/>
  <c r="Q93" i="1"/>
  <c r="R92" i="1"/>
  <c r="Q92" i="1"/>
  <c r="R81" i="1"/>
  <c r="Q81" i="1"/>
  <c r="R80" i="1"/>
  <c r="Q80" i="1"/>
  <c r="R79" i="1"/>
  <c r="Q79" i="1"/>
  <c r="R68" i="1"/>
  <c r="Q68" i="1"/>
  <c r="R67" i="1"/>
  <c r="Q67" i="1"/>
  <c r="R66" i="1"/>
  <c r="Q66" i="1"/>
  <c r="R54" i="1"/>
  <c r="Q54" i="1"/>
  <c r="R53" i="1"/>
  <c r="Q53" i="1"/>
  <c r="R52" i="1"/>
  <c r="Q52" i="1"/>
  <c r="R41" i="1"/>
  <c r="Q41" i="1"/>
  <c r="R40" i="1"/>
  <c r="Q40" i="1"/>
  <c r="R39" i="1"/>
  <c r="Q39" i="1"/>
  <c r="R27" i="1"/>
  <c r="Q27" i="1"/>
  <c r="R26" i="1"/>
  <c r="Q26" i="1"/>
  <c r="R25" i="1"/>
  <c r="Q25" i="1"/>
  <c r="R170" i="1"/>
  <c r="F182" i="1"/>
  <c r="R182" i="1"/>
  <c r="F184" i="1"/>
  <c r="R184" i="1"/>
  <c r="F195" i="1"/>
  <c r="R195" i="1"/>
  <c r="F197" i="1"/>
  <c r="F208" i="1"/>
  <c r="F210" i="1"/>
  <c r="Q210" i="1" l="1"/>
  <c r="C210" i="1"/>
  <c r="Q208" i="1"/>
  <c r="C208" i="1"/>
  <c r="Q197" i="1"/>
  <c r="C197" i="1"/>
  <c r="C195" i="1"/>
  <c r="Q195" i="1"/>
  <c r="C184" i="1"/>
  <c r="Q184" i="1"/>
  <c r="Q182" i="1"/>
  <c r="C182" i="1"/>
  <c r="H202" i="1"/>
  <c r="H204" i="1" s="1"/>
  <c r="M204" i="1"/>
  <c r="L204" i="1"/>
  <c r="I204" i="1"/>
  <c r="K204" i="1"/>
  <c r="J204" i="1"/>
  <c r="F213" i="1"/>
  <c r="F200" i="1"/>
  <c r="F187" i="1"/>
  <c r="R14" i="1" l="1"/>
  <c r="R12" i="1"/>
  <c r="E211" i="1" l="1"/>
  <c r="D211" i="1"/>
  <c r="F198" i="1"/>
  <c r="F202" i="1" s="1"/>
  <c r="E198" i="1"/>
  <c r="E202" i="1" s="1"/>
  <c r="D198" i="1"/>
  <c r="O185" i="1"/>
  <c r="F185" i="1"/>
  <c r="E185" i="1"/>
  <c r="E189" i="1" s="1"/>
  <c r="H185" i="1"/>
  <c r="H189" i="1" s="1"/>
  <c r="D185" i="1"/>
  <c r="O172" i="1"/>
  <c r="E172" i="1"/>
  <c r="G172" i="1"/>
  <c r="F172" i="1"/>
  <c r="F176" i="1" s="1"/>
  <c r="O159" i="1"/>
  <c r="E159" i="1"/>
  <c r="E163" i="1" s="1"/>
  <c r="F159" i="1"/>
  <c r="E147" i="1"/>
  <c r="E151" i="1" s="1"/>
  <c r="O147" i="1"/>
  <c r="K147" i="1"/>
  <c r="E134" i="1"/>
  <c r="O121" i="1"/>
  <c r="E121" i="1"/>
  <c r="O108" i="1"/>
  <c r="O112" i="1" s="1"/>
  <c r="E108" i="1"/>
  <c r="F108" i="1"/>
  <c r="O95" i="1"/>
  <c r="E95" i="1"/>
  <c r="E99" i="1" s="1"/>
  <c r="E101" i="1" s="1"/>
  <c r="D95" i="1"/>
  <c r="O82" i="1"/>
  <c r="O86" i="1" s="1"/>
  <c r="E82" i="1"/>
  <c r="O69" i="1"/>
  <c r="O73" i="1" s="1"/>
  <c r="E69" i="1"/>
  <c r="F69" i="1"/>
  <c r="D69" i="1"/>
  <c r="I55" i="1"/>
  <c r="H55" i="1"/>
  <c r="H59" i="1" s="1"/>
  <c r="E55" i="1"/>
  <c r="E59" i="1" s="1"/>
  <c r="O55" i="1"/>
  <c r="O59" i="1" s="1"/>
  <c r="G55" i="1"/>
  <c r="D55" i="1"/>
  <c r="O42" i="1"/>
  <c r="O46" i="1" s="1"/>
  <c r="F42" i="1"/>
  <c r="E42" i="1"/>
  <c r="E46" i="1" s="1"/>
  <c r="E48" i="1" s="1"/>
  <c r="D42" i="1"/>
  <c r="D46" i="1" s="1"/>
  <c r="E28" i="1"/>
  <c r="E32" i="1" s="1"/>
  <c r="H28" i="1"/>
  <c r="H32" i="1" s="1"/>
  <c r="G28" i="1"/>
  <c r="E15" i="1"/>
  <c r="D15" i="1"/>
  <c r="F15" i="1"/>
  <c r="F19" i="1" s="1"/>
  <c r="F21" i="1" s="1"/>
  <c r="O15" i="1"/>
  <c r="O19" i="1" s="1"/>
  <c r="H15" i="1"/>
  <c r="H19" i="1" s="1"/>
  <c r="O178" i="1" l="1"/>
  <c r="O165" i="1"/>
  <c r="O127" i="1"/>
  <c r="O48" i="1"/>
  <c r="L69" i="1"/>
  <c r="P69" i="1"/>
  <c r="P73" i="1" s="1"/>
  <c r="I147" i="1"/>
  <c r="R44" i="1"/>
  <c r="R71" i="1"/>
  <c r="R161" i="1"/>
  <c r="R213" i="1"/>
  <c r="K185" i="1"/>
  <c r="D19" i="1"/>
  <c r="D21" i="1" s="1"/>
  <c r="R136" i="1"/>
  <c r="R110" i="1"/>
  <c r="R30" i="1"/>
  <c r="R57" i="1"/>
  <c r="R198" i="1"/>
  <c r="R187" i="1"/>
  <c r="R200" i="1"/>
  <c r="K42" i="1"/>
  <c r="K108" i="1"/>
  <c r="R13" i="1"/>
  <c r="R15" i="1" s="1"/>
  <c r="H134" i="1"/>
  <c r="G134" i="1"/>
  <c r="G138" i="1" s="1"/>
  <c r="P95" i="1"/>
  <c r="L82" i="1"/>
  <c r="L86" i="1" s="1"/>
  <c r="N121" i="1"/>
  <c r="D59" i="1"/>
  <c r="D61" i="1" s="1"/>
  <c r="G159" i="1"/>
  <c r="G163" i="1" s="1"/>
  <c r="G211" i="1"/>
  <c r="P55" i="1"/>
  <c r="P59" i="1" s="1"/>
  <c r="P61" i="1" s="1"/>
  <c r="J69" i="1"/>
  <c r="G42" i="1"/>
  <c r="G46" i="1" s="1"/>
  <c r="N69" i="1"/>
  <c r="O21" i="1"/>
  <c r="J42" i="1"/>
  <c r="D28" i="1"/>
  <c r="D32" i="1" s="1"/>
  <c r="D34" i="1" s="1"/>
  <c r="M108" i="1"/>
  <c r="F28" i="1"/>
  <c r="F32" i="1" s="1"/>
  <c r="F34" i="1" s="1"/>
  <c r="N147" i="1"/>
  <c r="P15" i="1"/>
  <c r="P19" i="1" s="1"/>
  <c r="L172" i="1"/>
  <c r="M147" i="1"/>
  <c r="I159" i="1"/>
  <c r="R17" i="1"/>
  <c r="H42" i="1"/>
  <c r="E34" i="1"/>
  <c r="G121" i="1"/>
  <c r="G125" i="1" s="1"/>
  <c r="G127" i="1" s="1"/>
  <c r="J82" i="1"/>
  <c r="J86" i="1" s="1"/>
  <c r="H121" i="1"/>
  <c r="H125" i="1" s="1"/>
  <c r="K134" i="1"/>
  <c r="H211" i="1"/>
  <c r="H215" i="1" s="1"/>
  <c r="S40" i="1"/>
  <c r="T40" i="1" s="1"/>
  <c r="P159" i="1"/>
  <c r="Q12" i="1"/>
  <c r="S12" i="1" s="1"/>
  <c r="H21" i="1"/>
  <c r="Q17" i="1"/>
  <c r="G32" i="1"/>
  <c r="G34" i="1" s="1"/>
  <c r="F55" i="1"/>
  <c r="F59" i="1" s="1"/>
  <c r="F61" i="1" s="1"/>
  <c r="L108" i="1"/>
  <c r="I121" i="1"/>
  <c r="P147" i="1"/>
  <c r="L159" i="1"/>
  <c r="J172" i="1"/>
  <c r="P211" i="1"/>
  <c r="Q110" i="1"/>
  <c r="N159" i="1"/>
  <c r="J28" i="1"/>
  <c r="I134" i="1"/>
  <c r="I138" i="1" s="1"/>
  <c r="L185" i="1"/>
  <c r="K55" i="1"/>
  <c r="N185" i="1"/>
  <c r="Q71" i="1"/>
  <c r="H95" i="1"/>
  <c r="H99" i="1" s="1"/>
  <c r="D159" i="1"/>
  <c r="D163" i="1" s="1"/>
  <c r="P185" i="1"/>
  <c r="I211" i="1"/>
  <c r="F211" i="1"/>
  <c r="F215" i="1" s="1"/>
  <c r="O101" i="1"/>
  <c r="M55" i="1"/>
  <c r="M61" i="1" s="1"/>
  <c r="L134" i="1"/>
  <c r="L138" i="1" s="1"/>
  <c r="K153" i="1"/>
  <c r="P172" i="1"/>
  <c r="G69" i="1"/>
  <c r="M185" i="1"/>
  <c r="P134" i="1"/>
  <c r="P138" i="1" s="1"/>
  <c r="L147" i="1"/>
  <c r="D121" i="1"/>
  <c r="D125" i="1" s="1"/>
  <c r="J185" i="1"/>
  <c r="G15" i="1"/>
  <c r="G21" i="1" s="1"/>
  <c r="G59" i="1"/>
  <c r="G61" i="1" s="1"/>
  <c r="E204" i="1"/>
  <c r="O217" i="1"/>
  <c r="L28" i="1"/>
  <c r="I42" i="1"/>
  <c r="F82" i="1"/>
  <c r="F86" i="1" s="1"/>
  <c r="R97" i="1"/>
  <c r="S133" i="1"/>
  <c r="T133" i="1" s="1"/>
  <c r="J159" i="1"/>
  <c r="K69" i="1"/>
  <c r="G82" i="1"/>
  <c r="G86" i="1" s="1"/>
  <c r="J95" i="1"/>
  <c r="N108" i="1"/>
  <c r="N112" i="1" s="1"/>
  <c r="J108" i="1"/>
  <c r="N134" i="1"/>
  <c r="M15" i="1"/>
  <c r="M19" i="1" s="1"/>
  <c r="O28" i="1"/>
  <c r="O32" i="1" s="1"/>
  <c r="O34" i="1" s="1"/>
  <c r="M42" i="1"/>
  <c r="M69" i="1"/>
  <c r="D189" i="1"/>
  <c r="D191" i="1" s="1"/>
  <c r="S67" i="1"/>
  <c r="T67" i="1" s="1"/>
  <c r="K172" i="1"/>
  <c r="P28" i="1"/>
  <c r="P32" i="1" s="1"/>
  <c r="P34" i="1" s="1"/>
  <c r="O134" i="1"/>
  <c r="L15" i="1"/>
  <c r="L19" i="1" s="1"/>
  <c r="P42" i="1"/>
  <c r="P46" i="1" s="1"/>
  <c r="D99" i="1"/>
  <c r="D101" i="1" s="1"/>
  <c r="N95" i="1"/>
  <c r="F95" i="1"/>
  <c r="F99" i="1" s="1"/>
  <c r="H191" i="1"/>
  <c r="G198" i="1"/>
  <c r="G202" i="1" s="1"/>
  <c r="Q13" i="1"/>
  <c r="K95" i="1"/>
  <c r="N15" i="1"/>
  <c r="N19" i="1" s="1"/>
  <c r="S66" i="1"/>
  <c r="T66" i="1" s="1"/>
  <c r="H108" i="1"/>
  <c r="H112" i="1" s="1"/>
  <c r="M134" i="1"/>
  <c r="M138" i="1" s="1"/>
  <c r="I185" i="1"/>
  <c r="J147" i="1"/>
  <c r="L121" i="1"/>
  <c r="J134" i="1"/>
  <c r="I172" i="1"/>
  <c r="F73" i="1"/>
  <c r="F75" i="1" s="1"/>
  <c r="P121" i="1"/>
  <c r="L55" i="1"/>
  <c r="N42" i="1"/>
  <c r="D48" i="1"/>
  <c r="M82" i="1"/>
  <c r="M86" i="1" s="1"/>
  <c r="N82" i="1"/>
  <c r="N86" i="1" s="1"/>
  <c r="M121" i="1"/>
  <c r="E86" i="1"/>
  <c r="E88" i="1" s="1"/>
  <c r="Q84" i="1"/>
  <c r="R84" i="1"/>
  <c r="E138" i="1"/>
  <c r="E140" i="1" s="1"/>
  <c r="G176" i="1"/>
  <c r="G178" i="1" s="1"/>
  <c r="Q14" i="1"/>
  <c r="S14" i="1" s="1"/>
  <c r="O88" i="1"/>
  <c r="Q57" i="1"/>
  <c r="D172" i="1"/>
  <c r="D176" i="1" s="1"/>
  <c r="I95" i="1"/>
  <c r="D134" i="1"/>
  <c r="S157" i="1"/>
  <c r="T157" i="1" s="1"/>
  <c r="H172" i="1"/>
  <c r="H176" i="1" s="1"/>
  <c r="E176" i="1"/>
  <c r="K82" i="1"/>
  <c r="K86" i="1" s="1"/>
  <c r="I28" i="1"/>
  <c r="O61" i="1"/>
  <c r="Q123" i="1"/>
  <c r="J55" i="1"/>
  <c r="D108" i="1"/>
  <c r="D112" i="1" s="1"/>
  <c r="O75" i="1"/>
  <c r="E19" i="1"/>
  <c r="D73" i="1"/>
  <c r="D75" i="1" s="1"/>
  <c r="L95" i="1"/>
  <c r="E61" i="1"/>
  <c r="C61" i="1" s="1"/>
  <c r="I69" i="1"/>
  <c r="E112" i="1"/>
  <c r="E114" i="1" s="1"/>
  <c r="F46" i="1"/>
  <c r="F48" i="1" s="1"/>
  <c r="C48" i="1" s="1"/>
  <c r="F112" i="1"/>
  <c r="F114" i="1" s="1"/>
  <c r="S119" i="1"/>
  <c r="T119" i="1" s="1"/>
  <c r="F121" i="1"/>
  <c r="J121" i="1"/>
  <c r="Q136" i="1"/>
  <c r="I15" i="1"/>
  <c r="I19" i="1" s="1"/>
  <c r="G108" i="1"/>
  <c r="G112" i="1" s="1"/>
  <c r="E153" i="1"/>
  <c r="Q174" i="1"/>
  <c r="F204" i="1"/>
  <c r="Q30" i="1"/>
  <c r="N55" i="1"/>
  <c r="N59" i="1" s="1"/>
  <c r="P82" i="1"/>
  <c r="O114" i="1"/>
  <c r="K15" i="1"/>
  <c r="K19" i="1" s="1"/>
  <c r="K28" i="1"/>
  <c r="Q44" i="1"/>
  <c r="I108" i="1"/>
  <c r="O153" i="1"/>
  <c r="D147" i="1"/>
  <c r="R149" i="1"/>
  <c r="E165" i="1"/>
  <c r="Q187" i="1"/>
  <c r="D82" i="1"/>
  <c r="D86" i="1" s="1"/>
  <c r="G147" i="1"/>
  <c r="S197" i="1"/>
  <c r="T197" i="1" s="1"/>
  <c r="N28" i="1"/>
  <c r="S80" i="1"/>
  <c r="T80" i="1" s="1"/>
  <c r="E125" i="1"/>
  <c r="Q149" i="1"/>
  <c r="D202" i="1"/>
  <c r="D204" i="1" s="1"/>
  <c r="C204" i="1" s="1"/>
  <c r="K121" i="1"/>
  <c r="M159" i="1"/>
  <c r="M28" i="1"/>
  <c r="H82" i="1"/>
  <c r="H86" i="1" s="1"/>
  <c r="H34" i="1"/>
  <c r="L42" i="1"/>
  <c r="E73" i="1"/>
  <c r="E75" i="1" s="1"/>
  <c r="I82" i="1"/>
  <c r="I86" i="1" s="1"/>
  <c r="H147" i="1"/>
  <c r="H151" i="1" s="1"/>
  <c r="J211" i="1"/>
  <c r="H69" i="1"/>
  <c r="H73" i="1" s="1"/>
  <c r="F134" i="1"/>
  <c r="S132" i="1"/>
  <c r="T132" i="1" s="1"/>
  <c r="S158" i="1"/>
  <c r="T158" i="1" s="1"/>
  <c r="H159" i="1"/>
  <c r="H163" i="1" s="1"/>
  <c r="D215" i="1"/>
  <c r="D217" i="1" s="1"/>
  <c r="H61" i="1"/>
  <c r="G185" i="1"/>
  <c r="I61" i="1"/>
  <c r="Q213" i="1"/>
  <c r="Q200" i="1"/>
  <c r="Q97" i="1"/>
  <c r="F163" i="1"/>
  <c r="F165" i="1" s="1"/>
  <c r="M95" i="1"/>
  <c r="G95" i="1"/>
  <c r="P108" i="1"/>
  <c r="P112" i="1" s="1"/>
  <c r="K159" i="1"/>
  <c r="S184" i="1"/>
  <c r="T184" i="1" s="1"/>
  <c r="F189" i="1"/>
  <c r="F191" i="1" s="1"/>
  <c r="R123" i="1"/>
  <c r="F147" i="1"/>
  <c r="M172" i="1"/>
  <c r="R174" i="1"/>
  <c r="S196" i="1"/>
  <c r="T196" i="1" s="1"/>
  <c r="M211" i="1"/>
  <c r="Q161" i="1"/>
  <c r="F178" i="1"/>
  <c r="E215" i="1"/>
  <c r="O191" i="1"/>
  <c r="E191" i="1"/>
  <c r="N172" i="1"/>
  <c r="C75" i="1" l="1"/>
  <c r="C191" i="1"/>
  <c r="H138" i="1"/>
  <c r="H140" i="1" s="1"/>
  <c r="H46" i="1"/>
  <c r="H48" i="1"/>
  <c r="M153" i="1"/>
  <c r="H165" i="1"/>
  <c r="P75" i="1"/>
  <c r="H127" i="1"/>
  <c r="L217" i="1"/>
  <c r="M191" i="1"/>
  <c r="L191" i="1"/>
  <c r="N217" i="1"/>
  <c r="N127" i="1"/>
  <c r="L127" i="1"/>
  <c r="P101" i="1"/>
  <c r="K191" i="1"/>
  <c r="H101" i="1"/>
  <c r="H114" i="1"/>
  <c r="P178" i="1"/>
  <c r="N101" i="1"/>
  <c r="H153" i="1"/>
  <c r="P191" i="1"/>
  <c r="P153" i="1"/>
  <c r="N88" i="1"/>
  <c r="H88" i="1"/>
  <c r="N153" i="1"/>
  <c r="H217" i="1"/>
  <c r="M114" i="1"/>
  <c r="H178" i="1"/>
  <c r="L153" i="1"/>
  <c r="C34" i="1"/>
  <c r="H75" i="1"/>
  <c r="L75" i="1"/>
  <c r="L88" i="1"/>
  <c r="J88" i="1"/>
  <c r="J101" i="1"/>
  <c r="K101" i="1"/>
  <c r="J114" i="1"/>
  <c r="K114" i="1"/>
  <c r="J138" i="1"/>
  <c r="J140" i="1" s="1"/>
  <c r="K138" i="1"/>
  <c r="K140" i="1" s="1"/>
  <c r="J153" i="1"/>
  <c r="I153" i="1"/>
  <c r="L165" i="1"/>
  <c r="K165" i="1"/>
  <c r="J165" i="1"/>
  <c r="I165" i="1"/>
  <c r="J178" i="1"/>
  <c r="I178" i="1"/>
  <c r="N48" i="1"/>
  <c r="K48" i="1"/>
  <c r="J48" i="1"/>
  <c r="L34" i="1"/>
  <c r="S213" i="1"/>
  <c r="T213" i="1" s="1"/>
  <c r="S195" i="1"/>
  <c r="T195" i="1" s="1"/>
  <c r="T198" i="1" s="1"/>
  <c r="R159" i="1"/>
  <c r="R108" i="1"/>
  <c r="R55" i="1"/>
  <c r="S53" i="1"/>
  <c r="T53" i="1" s="1"/>
  <c r="R42" i="1"/>
  <c r="S68" i="1"/>
  <c r="T68" i="1" s="1"/>
  <c r="T69" i="1" s="1"/>
  <c r="S120" i="1"/>
  <c r="T120" i="1" s="1"/>
  <c r="R121" i="1"/>
  <c r="R69" i="1"/>
  <c r="S81" i="1"/>
  <c r="T81" i="1" s="1"/>
  <c r="R82" i="1"/>
  <c r="S105" i="1"/>
  <c r="T105" i="1" s="1"/>
  <c r="M140" i="1"/>
  <c r="R185" i="1"/>
  <c r="R134" i="1"/>
  <c r="S200" i="1"/>
  <c r="T200" i="1" s="1"/>
  <c r="S71" i="1"/>
  <c r="T71" i="1" s="1"/>
  <c r="S44" i="1"/>
  <c r="T44" i="1" s="1"/>
  <c r="S54" i="1"/>
  <c r="T54" i="1" s="1"/>
  <c r="S27" i="1"/>
  <c r="T27" i="1" s="1"/>
  <c r="S41" i="1"/>
  <c r="T41" i="1" s="1"/>
  <c r="S107" i="1"/>
  <c r="T107" i="1" s="1"/>
  <c r="S144" i="1"/>
  <c r="T144" i="1" s="1"/>
  <c r="S26" i="1"/>
  <c r="T26" i="1" s="1"/>
  <c r="R147" i="1"/>
  <c r="R28" i="1"/>
  <c r="S183" i="1"/>
  <c r="T183" i="1" s="1"/>
  <c r="S209" i="1"/>
  <c r="T209" i="1" s="1"/>
  <c r="S145" i="1"/>
  <c r="T145" i="1" s="1"/>
  <c r="S146" i="1"/>
  <c r="T146" i="1" s="1"/>
  <c r="S110" i="1"/>
  <c r="T110" i="1" s="1"/>
  <c r="J75" i="1"/>
  <c r="G48" i="1"/>
  <c r="J34" i="1"/>
  <c r="R202" i="1"/>
  <c r="R204" i="1" s="1"/>
  <c r="J21" i="1"/>
  <c r="S13" i="1"/>
  <c r="T13" i="1" s="1"/>
  <c r="G140" i="1"/>
  <c r="K217" i="1"/>
  <c r="S17" i="1"/>
  <c r="T17" i="1" s="1"/>
  <c r="N75" i="1"/>
  <c r="P217" i="1"/>
  <c r="D114" i="1"/>
  <c r="C114" i="1" s="1"/>
  <c r="L140" i="1"/>
  <c r="G215" i="1"/>
  <c r="G217" i="1" s="1"/>
  <c r="N165" i="1"/>
  <c r="G165" i="1"/>
  <c r="I217" i="1"/>
  <c r="P140" i="1"/>
  <c r="P21" i="1"/>
  <c r="Q55" i="1"/>
  <c r="S170" i="1"/>
  <c r="T170" i="1" s="1"/>
  <c r="F101" i="1"/>
  <c r="C101" i="1" s="1"/>
  <c r="N114" i="1"/>
  <c r="K127" i="1"/>
  <c r="J191" i="1"/>
  <c r="P165" i="1"/>
  <c r="M48" i="1"/>
  <c r="G88" i="1"/>
  <c r="N191" i="1"/>
  <c r="L61" i="1"/>
  <c r="L178" i="1"/>
  <c r="D165" i="1"/>
  <c r="C165" i="1" s="1"/>
  <c r="L21" i="1"/>
  <c r="P127" i="1"/>
  <c r="I140" i="1"/>
  <c r="I127" i="1"/>
  <c r="K61" i="1"/>
  <c r="P114" i="1"/>
  <c r="G75" i="1"/>
  <c r="F217" i="1"/>
  <c r="K75" i="1"/>
  <c r="L114" i="1"/>
  <c r="F88" i="1"/>
  <c r="Q28" i="1"/>
  <c r="S97" i="1"/>
  <c r="T97" i="1" s="1"/>
  <c r="Q134" i="1"/>
  <c r="S171" i="1"/>
  <c r="T171" i="1" s="1"/>
  <c r="S131" i="1"/>
  <c r="T131" i="1" s="1"/>
  <c r="T134" i="1" s="1"/>
  <c r="S93" i="1"/>
  <c r="T93" i="1" s="1"/>
  <c r="Q202" i="1"/>
  <c r="G204" i="1"/>
  <c r="Q147" i="1"/>
  <c r="I48" i="1"/>
  <c r="O138" i="1"/>
  <c r="O140" i="1" s="1"/>
  <c r="M21" i="1"/>
  <c r="Q108" i="1"/>
  <c r="K178" i="1"/>
  <c r="N138" i="1"/>
  <c r="N140" i="1" s="1"/>
  <c r="I88" i="1"/>
  <c r="S25" i="1"/>
  <c r="T25" i="1" s="1"/>
  <c r="G114" i="1"/>
  <c r="J217" i="1"/>
  <c r="I34" i="1"/>
  <c r="J61" i="1"/>
  <c r="M75" i="1"/>
  <c r="D178" i="1"/>
  <c r="S210" i="1"/>
  <c r="T210" i="1" s="1"/>
  <c r="I191" i="1"/>
  <c r="S106" i="1"/>
  <c r="T106" i="1" s="1"/>
  <c r="M127" i="1"/>
  <c r="P48" i="1"/>
  <c r="N21" i="1"/>
  <c r="M88" i="1"/>
  <c r="T14" i="1"/>
  <c r="Q172" i="1"/>
  <c r="S52" i="1"/>
  <c r="Q82" i="1"/>
  <c r="Q198" i="1"/>
  <c r="Q15" i="1"/>
  <c r="Q69" i="1"/>
  <c r="Q121" i="1"/>
  <c r="Q95" i="1"/>
  <c r="S123" i="1"/>
  <c r="Q163" i="1"/>
  <c r="S208" i="1"/>
  <c r="R211" i="1"/>
  <c r="E217" i="1"/>
  <c r="C217" i="1" s="1"/>
  <c r="M217" i="1"/>
  <c r="F138" i="1"/>
  <c r="F140" i="1" s="1"/>
  <c r="S57" i="1"/>
  <c r="S30" i="1"/>
  <c r="S182" i="1"/>
  <c r="Q185" i="1"/>
  <c r="L101" i="1"/>
  <c r="S174" i="1"/>
  <c r="G189" i="1"/>
  <c r="M178" i="1"/>
  <c r="S149" i="1"/>
  <c r="Q46" i="1"/>
  <c r="D88" i="1"/>
  <c r="C88" i="1" s="1"/>
  <c r="N32" i="1"/>
  <c r="N34" i="1" s="1"/>
  <c r="S79" i="1"/>
  <c r="Q86" i="1"/>
  <c r="E178" i="1"/>
  <c r="C178" i="1" s="1"/>
  <c r="Q211" i="1"/>
  <c r="G153" i="1"/>
  <c r="D127" i="1"/>
  <c r="Q42" i="1"/>
  <c r="S39" i="1"/>
  <c r="N61" i="1"/>
  <c r="R95" i="1"/>
  <c r="S92" i="1"/>
  <c r="S118" i="1"/>
  <c r="D138" i="1"/>
  <c r="T12" i="1"/>
  <c r="K88" i="1"/>
  <c r="S84" i="1"/>
  <c r="S161" i="1"/>
  <c r="S94" i="1"/>
  <c r="T94" i="1" s="1"/>
  <c r="I21" i="1"/>
  <c r="Q159" i="1"/>
  <c r="S156" i="1"/>
  <c r="E127" i="1"/>
  <c r="I75" i="1"/>
  <c r="S187" i="1"/>
  <c r="Q112" i="1"/>
  <c r="N178" i="1"/>
  <c r="I101" i="1"/>
  <c r="D151" i="1"/>
  <c r="D153" i="1" s="1"/>
  <c r="K34" i="1"/>
  <c r="F125" i="1"/>
  <c r="F127" i="1" s="1"/>
  <c r="M101" i="1"/>
  <c r="J127" i="1"/>
  <c r="R172" i="1"/>
  <c r="S169" i="1"/>
  <c r="F151" i="1"/>
  <c r="Q151" i="1" s="1"/>
  <c r="M34" i="1"/>
  <c r="S136" i="1"/>
  <c r="E21" i="1"/>
  <c r="C21" i="1" s="1"/>
  <c r="C127" i="1" l="1"/>
  <c r="H413" i="1"/>
  <c r="S198" i="1"/>
  <c r="R151" i="1"/>
  <c r="S151" i="1" s="1"/>
  <c r="T151" i="1" s="1"/>
  <c r="H8" i="1"/>
  <c r="S69" i="1"/>
  <c r="S55" i="1"/>
  <c r="R176" i="1"/>
  <c r="R178" i="1" s="1"/>
  <c r="R138" i="1"/>
  <c r="R140" i="1" s="1"/>
  <c r="T28" i="1"/>
  <c r="R19" i="1"/>
  <c r="T147" i="1"/>
  <c r="R59" i="1"/>
  <c r="R61" i="1" s="1"/>
  <c r="R215" i="1"/>
  <c r="R217" i="1" s="1"/>
  <c r="S202" i="1"/>
  <c r="T202" i="1" s="1"/>
  <c r="T204" i="1" s="1"/>
  <c r="S147" i="1"/>
  <c r="S15" i="1"/>
  <c r="R86" i="1"/>
  <c r="R88" i="1" s="1"/>
  <c r="R163" i="1"/>
  <c r="R165" i="1" s="1"/>
  <c r="R99" i="1"/>
  <c r="R101" i="1" s="1"/>
  <c r="R46" i="1"/>
  <c r="S46" i="1" s="1"/>
  <c r="T46" i="1" s="1"/>
  <c r="R125" i="1"/>
  <c r="R127" i="1" s="1"/>
  <c r="R112" i="1"/>
  <c r="R114" i="1" s="1"/>
  <c r="P88" i="1"/>
  <c r="P8" i="1" s="1"/>
  <c r="Q189" i="1"/>
  <c r="R189" i="1"/>
  <c r="R191" i="1" s="1"/>
  <c r="R73" i="1"/>
  <c r="R75" i="1" s="1"/>
  <c r="M165" i="1"/>
  <c r="R32" i="1"/>
  <c r="R34" i="1" s="1"/>
  <c r="Q215" i="1"/>
  <c r="L48" i="1"/>
  <c r="G191" i="1"/>
  <c r="O413" i="1"/>
  <c r="Q59" i="1"/>
  <c r="Q61" i="1" s="1"/>
  <c r="Q125" i="1"/>
  <c r="J413" i="1"/>
  <c r="Q99" i="1"/>
  <c r="Q101" i="1" s="1"/>
  <c r="Q19" i="1"/>
  <c r="Q138" i="1"/>
  <c r="Q140" i="1" s="1"/>
  <c r="Q73" i="1"/>
  <c r="Q75" i="1" s="1"/>
  <c r="S134" i="1"/>
  <c r="Q204" i="1"/>
  <c r="Q153" i="1"/>
  <c r="T15" i="1"/>
  <c r="Q114" i="1"/>
  <c r="S28" i="1"/>
  <c r="J8" i="1"/>
  <c r="T52" i="1"/>
  <c r="T55" i="1" s="1"/>
  <c r="S108" i="1"/>
  <c r="I114" i="1"/>
  <c r="Q48" i="1"/>
  <c r="O8" i="1"/>
  <c r="K21" i="1"/>
  <c r="T108" i="1"/>
  <c r="Q88" i="1"/>
  <c r="T136" i="1"/>
  <c r="T161" i="1"/>
  <c r="S172" i="1"/>
  <c r="T169" i="1"/>
  <c r="T172" i="1" s="1"/>
  <c r="Q165" i="1"/>
  <c r="T30" i="1"/>
  <c r="D140" i="1"/>
  <c r="T84" i="1"/>
  <c r="S82" i="1"/>
  <c r="T79" i="1"/>
  <c r="T82" i="1" s="1"/>
  <c r="T174" i="1"/>
  <c r="S159" i="1"/>
  <c r="T156" i="1"/>
  <c r="T159" i="1" s="1"/>
  <c r="Q176" i="1"/>
  <c r="Q178" i="1" s="1"/>
  <c r="N8" i="1"/>
  <c r="T118" i="1"/>
  <c r="T121" i="1" s="1"/>
  <c r="S121" i="1"/>
  <c r="S211" i="1"/>
  <c r="T208" i="1"/>
  <c r="T211" i="1" s="1"/>
  <c r="T123" i="1"/>
  <c r="T187" i="1"/>
  <c r="E413" i="1"/>
  <c r="E8" i="1"/>
  <c r="T149" i="1"/>
  <c r="G101" i="1"/>
  <c r="S42" i="1"/>
  <c r="T39" i="1"/>
  <c r="T42" i="1" s="1"/>
  <c r="T57" i="1"/>
  <c r="S95" i="1"/>
  <c r="T92" i="1"/>
  <c r="T95" i="1" s="1"/>
  <c r="Q32" i="1"/>
  <c r="F153" i="1"/>
  <c r="C153" i="1" s="1"/>
  <c r="S185" i="1"/>
  <c r="T182" i="1"/>
  <c r="T185" i="1" s="1"/>
  <c r="C140" i="1" l="1"/>
  <c r="D413" i="1"/>
  <c r="R153" i="1"/>
  <c r="S153" i="1"/>
  <c r="S19" i="1"/>
  <c r="T19" i="1" s="1"/>
  <c r="T21" i="1" s="1"/>
  <c r="S204" i="1"/>
  <c r="S215" i="1"/>
  <c r="T215" i="1" s="1"/>
  <c r="T217" i="1" s="1"/>
  <c r="S86" i="1"/>
  <c r="T86" i="1" s="1"/>
  <c r="T88" i="1" s="1"/>
  <c r="S125" i="1"/>
  <c r="T125" i="1" s="1"/>
  <c r="T127" i="1" s="1"/>
  <c r="P413" i="1"/>
  <c r="R48" i="1"/>
  <c r="S189" i="1"/>
  <c r="T189" i="1" s="1"/>
  <c r="T191" i="1" s="1"/>
  <c r="S112" i="1"/>
  <c r="T112" i="1" s="1"/>
  <c r="T114" i="1" s="1"/>
  <c r="Q191" i="1"/>
  <c r="L8" i="1"/>
  <c r="L413" i="1"/>
  <c r="S163" i="1"/>
  <c r="T163" i="1" s="1"/>
  <c r="T165" i="1" s="1"/>
  <c r="R21" i="1"/>
  <c r="Q127" i="1"/>
  <c r="Q217" i="1"/>
  <c r="S138" i="1"/>
  <c r="S140" i="1" s="1"/>
  <c r="S59" i="1"/>
  <c r="T59" i="1" s="1"/>
  <c r="T61" i="1" s="1"/>
  <c r="S99" i="1"/>
  <c r="T99" i="1" s="1"/>
  <c r="T101" i="1" s="1"/>
  <c r="S73" i="1"/>
  <c r="T73" i="1" s="1"/>
  <c r="T75" i="1" s="1"/>
  <c r="Q21" i="1"/>
  <c r="K413" i="1"/>
  <c r="K8" i="1"/>
  <c r="F8" i="1"/>
  <c r="N413" i="1"/>
  <c r="T48" i="1"/>
  <c r="I8" i="1"/>
  <c r="M8" i="1"/>
  <c r="I413" i="1"/>
  <c r="S48" i="1"/>
  <c r="M413" i="1"/>
  <c r="F413" i="1"/>
  <c r="S176" i="1"/>
  <c r="G413" i="1"/>
  <c r="C413" i="1" s="1"/>
  <c r="G8" i="1"/>
  <c r="Q34" i="1"/>
  <c r="S32" i="1"/>
  <c r="T153" i="1"/>
  <c r="R8" i="1" l="1"/>
  <c r="Q8" i="1"/>
  <c r="Q413" i="1"/>
  <c r="S191" i="1"/>
  <c r="S127" i="1"/>
  <c r="S114" i="1"/>
  <c r="S217" i="1"/>
  <c r="S88" i="1"/>
  <c r="R413" i="1"/>
  <c r="S21" i="1"/>
  <c r="S165" i="1"/>
  <c r="T138" i="1"/>
  <c r="T140" i="1" s="1"/>
  <c r="S101" i="1"/>
  <c r="S75" i="1"/>
  <c r="S61" i="1"/>
  <c r="T176" i="1"/>
  <c r="T178" i="1" s="1"/>
  <c r="S178" i="1"/>
  <c r="T32" i="1"/>
  <c r="T34" i="1" s="1"/>
  <c r="T413" i="1" s="1"/>
  <c r="S34" i="1"/>
  <c r="D8" i="1"/>
  <c r="C8" i="1" s="1"/>
  <c r="C3" i="1"/>
  <c r="S8" i="1" l="1"/>
  <c r="S413" i="1"/>
  <c r="T8" i="1"/>
</calcChain>
</file>

<file path=xl/sharedStrings.xml><?xml version="1.0" encoding="utf-8"?>
<sst xmlns="http://schemas.openxmlformats.org/spreadsheetml/2006/main" count="185" uniqueCount="128">
  <si>
    <t>Actual</t>
  </si>
  <si>
    <t>Forecast</t>
  </si>
  <si>
    <t xml:space="preserve">Award Number </t>
  </si>
  <si>
    <t>OT2OD036464</t>
  </si>
  <si>
    <t>Cells that require montly updates/reporting</t>
  </si>
  <si>
    <t>Award Dollars for Award Year 2026</t>
  </si>
  <si>
    <t>Cells that require initial setup</t>
  </si>
  <si>
    <t>Reporting Month</t>
  </si>
  <si>
    <t>Percent Spent</t>
  </si>
  <si>
    <t>Award $</t>
  </si>
  <si>
    <t>Totals Summary</t>
  </si>
  <si>
    <t>Total Actual</t>
  </si>
  <si>
    <t>Total Forecast</t>
  </si>
  <si>
    <t>Total Estimate Spending</t>
  </si>
  <si>
    <t>Estimated Balance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</si>
  <si>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</si>
  <si>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</si>
  <si>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</si>
  <si>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</si>
  <si>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</si>
  <si>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</si>
  <si>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</si>
  <si>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</si>
  <si>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</si>
  <si>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</si>
  <si>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</si>
  <si>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</si>
  <si>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April</t>
  </si>
  <si>
    <t>Milestone 44- Directorate</t>
  </si>
  <si>
    <t>Direct Costs - Milestone 44</t>
  </si>
  <si>
    <t>Labor</t>
  </si>
  <si>
    <t>Travel</t>
  </si>
  <si>
    <t>ODC</t>
  </si>
  <si>
    <t>Subtotal Direct costs Milestone 44</t>
  </si>
  <si>
    <t>Indirect Costs - Milestone 44</t>
  </si>
  <si>
    <t>Fee costs Milestone 44</t>
  </si>
  <si>
    <t>Total Milestone 44</t>
  </si>
  <si>
    <t>Milestone 45- Product Implementation</t>
  </si>
  <si>
    <t>Direct Costs - Milestone 45</t>
  </si>
  <si>
    <t>Subtotal Direct costs Milestone 45</t>
  </si>
  <si>
    <t>Indirect Costs - Milestone 45</t>
  </si>
  <si>
    <t>Fee costs Milestone 45</t>
  </si>
  <si>
    <t>Total Milestone 45</t>
  </si>
  <si>
    <t>Milestone 46- Website Maintenance</t>
  </si>
  <si>
    <t>Direct Costs - Milestone 46</t>
  </si>
  <si>
    <t>Subtotal Direct costs Milestone 46</t>
  </si>
  <si>
    <t>Indirect Costs - Milestone 46</t>
  </si>
  <si>
    <t>Fee costs Milestone 46</t>
  </si>
  <si>
    <t>Total Milestone 46</t>
  </si>
  <si>
    <t>Milestone 47- Communications Delivery</t>
  </si>
  <si>
    <t>Direct Costs - Milestone 47</t>
  </si>
  <si>
    <t>Subtotal Direct costs Milestone 47</t>
  </si>
  <si>
    <t>Indirect Costs - Milestone 47</t>
  </si>
  <si>
    <t>Fee costs Milestone 47</t>
  </si>
  <si>
    <t>Total Milestone 47</t>
  </si>
  <si>
    <t>Milestone 48- Data Quality &amp; Platform analytics</t>
  </si>
  <si>
    <t>Direct Costs - Milestone 48</t>
  </si>
  <si>
    <t>Subtotal Direct costs Milestone 48</t>
  </si>
  <si>
    <t>Indirect Costs - Milestone 48</t>
  </si>
  <si>
    <t>Fee costs Milestone 48</t>
  </si>
  <si>
    <t>Total Milestone 48</t>
  </si>
  <si>
    <t>Milestone 49- Tier 2&amp;3 support</t>
  </si>
  <si>
    <t>Direct Costs - Milestone 49</t>
  </si>
  <si>
    <t>Subtotal Direct costs Milestone 49</t>
  </si>
  <si>
    <t>Indirect Costs - Milestone 49</t>
  </si>
  <si>
    <t>Fee costs Milestone 49</t>
  </si>
  <si>
    <t>Total Milestone 49</t>
  </si>
  <si>
    <t>Milestone 50- Development + Operations &amp; Maintenance</t>
  </si>
  <si>
    <t>Direct Costs - Milestone 50</t>
  </si>
  <si>
    <t>Subtotal Direct costs Milestone 50</t>
  </si>
  <si>
    <t>Indirect Costs - Milestone 50</t>
  </si>
  <si>
    <t>Fee costs Milestone 50</t>
  </si>
  <si>
    <t>Total Milestone 50</t>
  </si>
  <si>
    <t>Milestone 51- Data. Process amd protocol automation</t>
  </si>
  <si>
    <t>Direct Costs - Milestone 51</t>
  </si>
  <si>
    <t>Subtotal Direct costs Milestone 51</t>
  </si>
  <si>
    <t>Indirect Costs - Milestone 51</t>
  </si>
  <si>
    <t>Fee costs Milestone 51</t>
  </si>
  <si>
    <t>Total Milestone 51</t>
  </si>
  <si>
    <t>Milestone 52- Security</t>
  </si>
  <si>
    <t>Direct Costs - Milestone 52</t>
  </si>
  <si>
    <t>Subtotal Direct costs Milestone 52</t>
  </si>
  <si>
    <t>Indirect Costs - Milestone 52</t>
  </si>
  <si>
    <t>Fee costs Milestone 52</t>
  </si>
  <si>
    <t>Total Milestone 52</t>
  </si>
  <si>
    <t>Milestone 53- Licenses</t>
  </si>
  <si>
    <t>Direct Costs - Milestone 53</t>
  </si>
  <si>
    <t>Subtotal Direct costs Milestone 53</t>
  </si>
  <si>
    <t>Indirect Costs - Milestone 53</t>
  </si>
  <si>
    <t>Fee costs Milestone 53</t>
  </si>
  <si>
    <t>Total Milestone 53</t>
  </si>
  <si>
    <t>Milestone 54- Directorate and Management</t>
  </si>
  <si>
    <t>Direct Costs - Milestone 54</t>
  </si>
  <si>
    <t>Subtotal Direct costs Milestone 54</t>
  </si>
  <si>
    <t>Indirect Costs - Milestone 54</t>
  </si>
  <si>
    <t>Fee costs Milestone 54</t>
  </si>
  <si>
    <t>Total Milestone 54</t>
  </si>
  <si>
    <t>Milestone 55- Protocol Compliance</t>
  </si>
  <si>
    <t>Direct Costs - Milestone 55</t>
  </si>
  <si>
    <t>Subtotal Direct costs Milestone 55</t>
  </si>
  <si>
    <t>Indirect Costs - Milestone 55</t>
  </si>
  <si>
    <t>Fee costs Milestone 55</t>
  </si>
  <si>
    <t>Total Milestone 55</t>
  </si>
  <si>
    <t>Milestone 56- Partner and Participant Coordination</t>
  </si>
  <si>
    <t>Direct Costs - Milestone 56</t>
  </si>
  <si>
    <t>Subtotal Direct costs Milestone 56</t>
  </si>
  <si>
    <t>Indirect Costs - Milestone 56</t>
  </si>
  <si>
    <t>Fee costs Milestone 56</t>
  </si>
  <si>
    <t>Total Milestone 56</t>
  </si>
  <si>
    <t>Milestone 57- Data Governance and Delivery</t>
  </si>
  <si>
    <t>Direct Costs - Milestone 57</t>
  </si>
  <si>
    <t>Subtotal Direct costs Milestone 57</t>
  </si>
  <si>
    <t>Indirect Costs - Milestone 57</t>
  </si>
  <si>
    <t>Fee costs Milestone 57</t>
  </si>
  <si>
    <t>Total Milestone 57</t>
  </si>
  <si>
    <t>Milestone 58- TEP</t>
  </si>
  <si>
    <t>Direct Costs - Milestone 58</t>
  </si>
  <si>
    <t>Subtotal Direct costs Milestone 58</t>
  </si>
  <si>
    <t>Indirect Costs - Milestone 58</t>
  </si>
  <si>
    <t>Fee costs Milestone 58</t>
  </si>
  <si>
    <t>Total Milestone 58</t>
  </si>
  <si>
    <t>Milestone 59- Support Center</t>
  </si>
  <si>
    <t>Direct Costs - Milestone 59</t>
  </si>
  <si>
    <t>Subtotal Direct costs Milestone 59</t>
  </si>
  <si>
    <t>Indirect Costs - Milestone 59</t>
  </si>
  <si>
    <t>Fee costs Milestone 59</t>
  </si>
  <si>
    <t>Total Milestone 59</t>
  </si>
  <si>
    <t>Total Award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</si>
</sst>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  <numFmt numFmtId="166" formatCode="&quot;$&quot;#,##0.00"/>
  </numFmts>
  <fonts count="20">
    <font>
      <sz val="10"/>
      <color theme="1"/>
      <name val="Arial"/>
      <family val="2"/>
      <scheme val="minor"/>
    </font>
    <font>
      <sz val="10"/>
      <name val="Calibri"/>
      <family val="2"/>
    </font>
    <font>
      <sz val="10"/>
      <name val="Arial"/>
      <family val="2"/>
      <scheme val="minor"/>
    </font>
    <font>
      <b/>
      <sz val="10"/>
      <name val="Calibri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b/>
      <sz val="10"/>
      <color rgb="FF0070C0"/>
      <name val="Calibri"/>
      <family val="2"/>
    </font>
    <font>
      <b/>
      <sz val="10"/>
      <color rgb="FF0070C0"/>
      <name val="Calibri"/>
    </font>
    <font>
      <sz val="10"/>
      <name val="Calibri"/>
    </font>
    <font>
      <sz val="10"/>
      <color rgb="FF000000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FBE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rgb="FFD8D8D8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ck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ck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rgb="FF3BAB5A"/>
      </left>
      <right style="dotted">
        <color rgb="FF3BAB5A"/>
      </right>
      <top style="dotted">
        <color rgb="FF3BAB5A"/>
      </top>
      <bottom style="dotted">
        <color rgb="FF3BAB5A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n">
        <color indexed="64"/>
      </right>
      <top style="thin">
        <color rgb="FF000000"/>
      </top>
      <bottom style="medium">
        <color rgb="FF000000"/>
      </bottom>
      <diagonal/>
    </border>
  </borders>
  <cellStyleXfs count="77">
    <xf numFmtId="0" fontId="0" fillId="0" borderId="0"/>
    <xf numFmtId="44" fontId="5" fillId="0" borderId="0" applyFont="0" applyFill="0" applyBorder="0" applyAlignment="0" applyProtection="0"/>
    <xf numFmtId="0" fontId="7" fillId="0" borderId="49" applyNumberFormat="0" applyFill="0" applyProtection="0">
      <alignment horizontal="center" vertical="center"/>
    </xf>
    <xf numFmtId="3" fontId="8" fillId="0" borderId="50" applyFont="0" applyFill="0" applyAlignment="0" applyProtection="0"/>
    <xf numFmtId="3" fontId="8" fillId="0" borderId="50" applyFont="0" applyFill="0" applyAlignment="0" applyProtection="0"/>
    <xf numFmtId="3" fontId="8" fillId="0" borderId="50" applyFont="0" applyFill="0" applyAlignment="0" applyProtection="0"/>
    <xf numFmtId="3" fontId="8" fillId="0" borderId="50" applyFont="0" applyFill="0" applyAlignment="0" applyProtection="0"/>
    <xf numFmtId="3" fontId="8" fillId="0" borderId="50" applyFont="0" applyFill="0" applyAlignment="0" applyProtection="0"/>
    <xf numFmtId="3" fontId="8" fillId="0" borderId="50" applyFont="0" applyFill="0" applyAlignment="0" applyProtection="0"/>
    <xf numFmtId="3" fontId="8" fillId="0" borderId="50" applyFont="0" applyFill="0" applyAlignment="0" applyProtection="0"/>
    <xf numFmtId="3" fontId="8" fillId="0" borderId="50" applyFont="0" applyFill="0" applyAlignment="0" applyProtection="0"/>
    <xf numFmtId="3" fontId="7" fillId="0" borderId="49" applyNumberFormat="0" applyFill="0" applyAlignment="0" applyProtection="0"/>
    <xf numFmtId="0" fontId="7" fillId="0" borderId="49" applyNumberFormat="0" applyFill="0" applyAlignment="0" applyProtection="0"/>
    <xf numFmtId="3" fontId="7" fillId="0" borderId="49" applyNumberFormat="0" applyFill="0" applyAlignment="0" applyProtection="0"/>
    <xf numFmtId="0" fontId="7" fillId="0" borderId="49" applyNumberFormat="0" applyFill="0" applyAlignment="0" applyProtection="0"/>
    <xf numFmtId="0" fontId="7" fillId="0" borderId="49" applyNumberFormat="0" applyFill="0" applyAlignment="0" applyProtection="0"/>
    <xf numFmtId="0" fontId="7" fillId="0" borderId="49" applyNumberFormat="0" applyFill="0" applyAlignment="0" applyProtection="0"/>
    <xf numFmtId="0" fontId="7" fillId="0" borderId="49" applyNumberFormat="0" applyFill="0" applyAlignment="0" applyProtection="0"/>
    <xf numFmtId="0" fontId="7" fillId="0" borderId="49" applyNumberFormat="0" applyFill="0" applyAlignment="0" applyProtection="0"/>
    <xf numFmtId="3" fontId="8" fillId="0" borderId="0" applyNumberFormat="0" applyBorder="0" applyAlignment="0" applyProtection="0"/>
    <xf numFmtId="3" fontId="8" fillId="0" borderId="0" applyNumberFormat="0" applyBorder="0" applyAlignment="0" applyProtection="0"/>
    <xf numFmtId="3" fontId="8" fillId="0" borderId="0" applyNumberFormat="0" applyBorder="0" applyAlignment="0" applyProtection="0"/>
    <xf numFmtId="3" fontId="8" fillId="0" borderId="0" applyNumberFormat="0" applyBorder="0" applyAlignment="0" applyProtection="0"/>
    <xf numFmtId="3" fontId="8" fillId="0" borderId="0" applyNumberFormat="0" applyBorder="0" applyAlignment="0" applyProtection="0"/>
    <xf numFmtId="3" fontId="8" fillId="0" borderId="50" applyNumberFormat="0" applyBorder="0" applyAlignment="0" applyProtection="0"/>
    <xf numFmtId="3" fontId="8" fillId="0" borderId="50" applyNumberFormat="0" applyBorder="0" applyAlignment="0" applyProtection="0"/>
    <xf numFmtId="3" fontId="8" fillId="0" borderId="50" applyNumberFormat="0" applyBorder="0" applyAlignment="0" applyProtection="0"/>
    <xf numFmtId="0" fontId="8" fillId="0" borderId="50" applyNumberFormat="0" applyFill="0" applyAlignment="0" applyProtection="0"/>
    <xf numFmtId="0" fontId="8" fillId="0" borderId="50" applyNumberFormat="0" applyFill="0" applyAlignment="0" applyProtection="0"/>
    <xf numFmtId="0" fontId="8" fillId="0" borderId="50">
      <alignment horizontal="right" vertical="center"/>
    </xf>
    <xf numFmtId="3" fontId="8" fillId="5" borderId="50">
      <alignment horizontal="center" vertical="center"/>
    </xf>
    <xf numFmtId="0" fontId="8" fillId="5" borderId="50">
      <alignment horizontal="right" vertical="center"/>
    </xf>
    <xf numFmtId="0" fontId="7" fillId="0" borderId="51">
      <alignment horizontal="left" vertical="center"/>
    </xf>
    <xf numFmtId="0" fontId="7" fillId="0" borderId="52">
      <alignment horizontal="center" vertical="center"/>
    </xf>
    <xf numFmtId="0" fontId="9" fillId="0" borderId="53">
      <alignment horizontal="center" vertical="center"/>
    </xf>
    <xf numFmtId="0" fontId="8" fillId="6" borderId="50"/>
    <xf numFmtId="3" fontId="7" fillId="0" borderId="49" applyFill="0" applyAlignment="0" applyProtection="0"/>
    <xf numFmtId="3" fontId="7" fillId="0" borderId="49" applyFill="0" applyAlignment="0" applyProtection="0"/>
    <xf numFmtId="3" fontId="7" fillId="0" borderId="49" applyFill="0" applyAlignment="0" applyProtection="0"/>
    <xf numFmtId="3" fontId="7" fillId="0" borderId="49" applyFill="0" applyAlignment="0" applyProtection="0"/>
    <xf numFmtId="0" fontId="7" fillId="0" borderId="49" applyFill="0" applyAlignment="0" applyProtection="0"/>
    <xf numFmtId="3" fontId="7" fillId="0" borderId="49" applyFill="0" applyAlignment="0" applyProtection="0"/>
    <xf numFmtId="0" fontId="7" fillId="0" borderId="52">
      <alignment horizontal="center" vertical="center"/>
    </xf>
    <xf numFmtId="0" fontId="7" fillId="0" borderId="52">
      <alignment horizontal="center" vertical="center"/>
    </xf>
    <xf numFmtId="3" fontId="8" fillId="0" borderId="50" applyFill="0" applyAlignment="0" applyProtection="0"/>
    <xf numFmtId="0" fontId="8" fillId="0" borderId="50" applyFill="0" applyAlignment="0" applyProtection="0"/>
    <xf numFmtId="3" fontId="7" fillId="7" borderId="54" applyNumberFormat="0" applyFont="0" applyAlignment="0" applyProtection="0"/>
    <xf numFmtId="0" fontId="7" fillId="0" borderId="49" applyFill="0" applyAlignment="0" applyProtection="0"/>
    <xf numFmtId="3" fontId="7" fillId="0" borderId="49" applyFill="0" applyAlignment="0" applyProtection="0"/>
    <xf numFmtId="0" fontId="7" fillId="0" borderId="49" applyFill="0" applyAlignment="0" applyProtection="0"/>
    <xf numFmtId="0" fontId="7" fillId="0" borderId="49" applyFill="0" applyAlignment="0" applyProtection="0"/>
    <xf numFmtId="0" fontId="7" fillId="0" borderId="49" applyFill="0" applyAlignment="0" applyProtection="0"/>
    <xf numFmtId="0" fontId="7" fillId="0" borderId="49" applyFill="0" applyAlignment="0" applyProtection="0"/>
    <xf numFmtId="0" fontId="7" fillId="0" borderId="51">
      <alignment horizontal="left" vertical="center"/>
    </xf>
    <xf numFmtId="3" fontId="7" fillId="0" borderId="49" applyFill="0" applyAlignment="0" applyProtection="0"/>
    <xf numFmtId="3" fontId="10" fillId="0" borderId="50"/>
    <xf numFmtId="3" fontId="11" fillId="0" borderId="50"/>
    <xf numFmtId="0" fontId="7" fillId="0" borderId="52">
      <alignment horizontal="left" vertical="top"/>
    </xf>
    <xf numFmtId="0" fontId="12" fillId="0" borderId="50"/>
    <xf numFmtId="0" fontId="7" fillId="0" borderId="52">
      <alignment horizontal="left" vertical="center"/>
    </xf>
    <xf numFmtId="0" fontId="8" fillId="5" borderId="55"/>
    <xf numFmtId="3" fontId="8" fillId="0" borderId="50">
      <alignment horizontal="right" vertical="center"/>
    </xf>
    <xf numFmtId="0" fontId="7" fillId="0" borderId="52">
      <alignment horizontal="right" vertical="center"/>
    </xf>
    <xf numFmtId="0" fontId="8" fillId="0" borderId="53">
      <alignment horizontal="center" vertical="center"/>
    </xf>
    <xf numFmtId="3" fontId="8" fillId="0" borderId="50"/>
    <xf numFmtId="3" fontId="8" fillId="0" borderId="50"/>
    <xf numFmtId="0" fontId="8" fillId="0" borderId="53">
      <alignment horizontal="center" vertical="center" wrapText="1"/>
    </xf>
    <xf numFmtId="0" fontId="13" fillId="0" borderId="53">
      <alignment horizontal="left" vertical="center" indent="1"/>
    </xf>
    <xf numFmtId="0" fontId="14" fillId="0" borderId="50"/>
    <xf numFmtId="0" fontId="7" fillId="0" borderId="51">
      <alignment horizontal="left" vertical="center"/>
    </xf>
    <xf numFmtId="3" fontId="8" fillId="0" borderId="50">
      <alignment horizontal="center" vertical="center"/>
    </xf>
    <xf numFmtId="0" fontId="7" fillId="0" borderId="52">
      <alignment horizontal="center" vertical="center"/>
    </xf>
    <xf numFmtId="0" fontId="7" fillId="0" borderId="52">
      <alignment horizontal="center" vertical="center"/>
    </xf>
    <xf numFmtId="0" fontId="7" fillId="0" borderId="51">
      <alignment horizontal="left" vertical="center"/>
    </xf>
    <xf numFmtId="0" fontId="7" fillId="0" borderId="51">
      <alignment horizontal="left" vertical="center"/>
    </xf>
    <xf numFmtId="0" fontId="15" fillId="0" borderId="50"/>
    <xf numFmtId="0" fontId="19" fillId="0" borderId="0"/>
  </cellStyleXfs>
  <cellXfs count="14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2" fillId="0" borderId="0" xfId="0" applyFont="1"/>
    <xf numFmtId="0" fontId="3" fillId="0" borderId="1" xfId="0" applyFont="1" applyBorder="1"/>
    <xf numFmtId="0" fontId="3" fillId="2" borderId="2" xfId="0" applyFont="1" applyFill="1" applyBorder="1" applyAlignment="1">
      <alignment horizontal="right"/>
    </xf>
    <xf numFmtId="0" fontId="3" fillId="0" borderId="0" xfId="0" applyFont="1"/>
    <xf numFmtId="0" fontId="1" fillId="3" borderId="1" xfId="0" applyFont="1" applyFill="1" applyBorder="1"/>
    <xf numFmtId="0" fontId="1" fillId="0" borderId="3" xfId="0" applyFont="1" applyBorder="1"/>
    <xf numFmtId="0" fontId="1" fillId="0" borderId="2" xfId="0" applyFont="1" applyBorder="1"/>
    <xf numFmtId="42" fontId="1" fillId="0" borderId="0" xfId="0" applyNumberFormat="1" applyFont="1"/>
    <xf numFmtId="0" fontId="3" fillId="0" borderId="4" xfId="0" applyFont="1" applyBorder="1"/>
    <xf numFmtId="165" fontId="3" fillId="2" borderId="5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1" fillId="2" borderId="4" xfId="0" applyFont="1" applyFill="1" applyBorder="1"/>
    <xf numFmtId="44" fontId="1" fillId="0" borderId="6" xfId="0" applyNumberFormat="1" applyFont="1" applyBorder="1"/>
    <xf numFmtId="44" fontId="1" fillId="0" borderId="5" xfId="0" applyNumberFormat="1" applyFont="1" applyBorder="1"/>
    <xf numFmtId="44" fontId="1" fillId="0" borderId="0" xfId="0" applyNumberFormat="1" applyFont="1"/>
    <xf numFmtId="44" fontId="3" fillId="0" borderId="0" xfId="0" applyNumberFormat="1" applyFont="1" applyAlignment="1">
      <alignment horizontal="left"/>
    </xf>
    <xf numFmtId="49" fontId="1" fillId="0" borderId="11" xfId="0" applyNumberFormat="1" applyFont="1" applyBorder="1" applyAlignment="1">
      <alignment horizontal="center"/>
    </xf>
    <xf numFmtId="49" fontId="1" fillId="3" borderId="16" xfId="0" applyNumberFormat="1" applyFont="1" applyFill="1" applyBorder="1" applyAlignment="1">
      <alignment horizontal="center"/>
    </xf>
    <xf numFmtId="164" fontId="1" fillId="3" borderId="16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3" fillId="0" borderId="22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0" fontId="3" fillId="0" borderId="23" xfId="0" applyFont="1" applyBorder="1" applyAlignment="1">
      <alignment vertical="top"/>
    </xf>
    <xf numFmtId="10" fontId="1" fillId="0" borderId="25" xfId="0" applyNumberFormat="1" applyFont="1" applyBorder="1" applyAlignment="1">
      <alignment horizontal="center"/>
    </xf>
    <xf numFmtId="164" fontId="1" fillId="0" borderId="26" xfId="0" applyNumberFormat="1" applyFont="1" applyBorder="1"/>
    <xf numFmtId="0" fontId="3" fillId="0" borderId="30" xfId="0" applyFont="1" applyBorder="1"/>
    <xf numFmtId="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165" fontId="3" fillId="0" borderId="0" xfId="0" applyNumberFormat="1" applyFont="1"/>
    <xf numFmtId="164" fontId="3" fillId="0" borderId="0" xfId="0" applyNumberFormat="1" applyFont="1"/>
    <xf numFmtId="0" fontId="3" fillId="0" borderId="31" xfId="0" applyFont="1" applyBorder="1" applyAlignment="1">
      <alignment horizontal="left"/>
    </xf>
    <xf numFmtId="9" fontId="1" fillId="0" borderId="32" xfId="0" applyNumberFormat="1" applyFont="1" applyBorder="1" applyAlignment="1">
      <alignment horizontal="center"/>
    </xf>
    <xf numFmtId="164" fontId="1" fillId="0" borderId="33" xfId="0" applyNumberFormat="1" applyFont="1" applyBorder="1" applyAlignment="1">
      <alignment horizontal="center"/>
    </xf>
    <xf numFmtId="0" fontId="1" fillId="2" borderId="34" xfId="0" applyFont="1" applyFill="1" applyBorder="1" applyAlignment="1">
      <alignment horizontal="left" vertical="top" wrapText="1"/>
    </xf>
    <xf numFmtId="164" fontId="1" fillId="3" borderId="36" xfId="1" applyNumberFormat="1" applyFont="1" applyFill="1" applyBorder="1"/>
    <xf numFmtId="0" fontId="3" fillId="0" borderId="38" xfId="0" applyFont="1" applyBorder="1" applyAlignment="1">
      <alignment horizontal="left"/>
    </xf>
    <xf numFmtId="9" fontId="3" fillId="0" borderId="39" xfId="0" applyNumberFormat="1" applyFont="1" applyBorder="1" applyAlignment="1">
      <alignment horizontal="center"/>
    </xf>
    <xf numFmtId="164" fontId="3" fillId="0" borderId="25" xfId="0" applyNumberFormat="1" applyFont="1" applyBorder="1"/>
    <xf numFmtId="0" fontId="3" fillId="0" borderId="30" xfId="0" applyFont="1" applyBorder="1" applyAlignment="1">
      <alignment horizontal="left"/>
    </xf>
    <xf numFmtId="9" fontId="3" fillId="0" borderId="3" xfId="0" applyNumberFormat="1" applyFont="1" applyBorder="1" applyAlignment="1">
      <alignment horizontal="center"/>
    </xf>
    <xf numFmtId="164" fontId="3" fillId="0" borderId="3" xfId="0" applyNumberFormat="1" applyFont="1" applyBorder="1"/>
    <xf numFmtId="0" fontId="3" fillId="0" borderId="10" xfId="0" applyFont="1" applyBorder="1" applyAlignment="1">
      <alignment horizontal="left"/>
    </xf>
    <xf numFmtId="10" fontId="1" fillId="0" borderId="42" xfId="0" applyNumberFormat="1" applyFont="1" applyBorder="1" applyAlignment="1">
      <alignment horizontal="center"/>
    </xf>
    <xf numFmtId="164" fontId="3" fillId="4" borderId="44" xfId="1" applyNumberFormat="1" applyFont="1" applyFill="1" applyBorder="1"/>
    <xf numFmtId="0" fontId="3" fillId="0" borderId="6" xfId="0" applyFont="1" applyBorder="1" applyAlignment="1">
      <alignment horizontal="left"/>
    </xf>
    <xf numFmtId="10" fontId="1" fillId="0" borderId="6" xfId="0" applyNumberFormat="1" applyFont="1" applyBorder="1" applyAlignment="1">
      <alignment horizontal="center"/>
    </xf>
    <xf numFmtId="164" fontId="3" fillId="0" borderId="6" xfId="0" applyNumberFormat="1" applyFont="1" applyBorder="1"/>
    <xf numFmtId="164" fontId="3" fillId="0" borderId="44" xfId="0" applyNumberFormat="1" applyFont="1" applyBorder="1"/>
    <xf numFmtId="0" fontId="3" fillId="0" borderId="46" xfId="0" applyFont="1" applyBorder="1" applyAlignment="1">
      <alignment horizontal="left"/>
    </xf>
    <xf numFmtId="9" fontId="3" fillId="0" borderId="11" xfId="0" applyNumberFormat="1" applyFont="1" applyBorder="1" applyAlignment="1">
      <alignment horizontal="center"/>
    </xf>
    <xf numFmtId="164" fontId="3" fillId="0" borderId="11" xfId="0" applyNumberFormat="1" applyFont="1" applyBorder="1"/>
    <xf numFmtId="164" fontId="3" fillId="0" borderId="39" xfId="0" applyNumberFormat="1" applyFont="1" applyBorder="1"/>
    <xf numFmtId="9" fontId="3" fillId="0" borderId="0" xfId="0" applyNumberFormat="1" applyFont="1" applyAlignment="1">
      <alignment horizontal="center"/>
    </xf>
    <xf numFmtId="3" fontId="1" fillId="0" borderId="0" xfId="0" applyNumberFormat="1" applyFont="1"/>
    <xf numFmtId="164" fontId="2" fillId="0" borderId="0" xfId="0" applyNumberFormat="1" applyFont="1"/>
    <xf numFmtId="0" fontId="3" fillId="0" borderId="24" xfId="0" applyFont="1" applyBorder="1" applyAlignment="1">
      <alignment horizontal="center"/>
    </xf>
    <xf numFmtId="0" fontId="3" fillId="0" borderId="56" xfId="0" applyFont="1" applyBorder="1" applyAlignment="1">
      <alignment horizontal="left"/>
    </xf>
    <xf numFmtId="10" fontId="1" fillId="0" borderId="56" xfId="0" applyNumberFormat="1" applyFont="1" applyBorder="1" applyAlignment="1">
      <alignment horizontal="center"/>
    </xf>
    <xf numFmtId="164" fontId="3" fillId="0" borderId="56" xfId="0" applyNumberFormat="1" applyFont="1" applyBorder="1"/>
    <xf numFmtId="9" fontId="1" fillId="0" borderId="56" xfId="0" applyNumberFormat="1" applyFont="1" applyBorder="1" applyAlignment="1">
      <alignment horizontal="center"/>
    </xf>
    <xf numFmtId="164" fontId="1" fillId="0" borderId="56" xfId="0" applyNumberFormat="1" applyFont="1" applyBorder="1" applyAlignment="1">
      <alignment horizontal="center"/>
    </xf>
    <xf numFmtId="0" fontId="1" fillId="2" borderId="56" xfId="0" applyFont="1" applyFill="1" applyBorder="1" applyAlignment="1">
      <alignment horizontal="left" vertical="top" wrapText="1"/>
    </xf>
    <xf numFmtId="164" fontId="1" fillId="3" borderId="56" xfId="1" applyNumberFormat="1" applyFont="1" applyFill="1" applyBorder="1"/>
    <xf numFmtId="9" fontId="3" fillId="0" borderId="56" xfId="0" applyNumberFormat="1" applyFont="1" applyBorder="1" applyAlignment="1">
      <alignment horizontal="center"/>
    </xf>
    <xf numFmtId="164" fontId="3" fillId="4" borderId="56" xfId="1" applyNumberFormat="1" applyFont="1" applyFill="1" applyBorder="1"/>
    <xf numFmtId="166" fontId="1" fillId="3" borderId="56" xfId="0" applyNumberFormat="1" applyFont="1" applyFill="1" applyBorder="1"/>
    <xf numFmtId="166" fontId="1" fillId="0" borderId="26" xfId="0" applyNumberFormat="1" applyFont="1" applyBorder="1"/>
    <xf numFmtId="166" fontId="1" fillId="0" borderId="0" xfId="0" applyNumberFormat="1" applyFont="1" applyAlignment="1">
      <alignment horizontal="center"/>
    </xf>
    <xf numFmtId="166" fontId="3" fillId="0" borderId="56" xfId="0" applyNumberFormat="1" applyFont="1" applyBorder="1"/>
    <xf numFmtId="166" fontId="1" fillId="0" borderId="56" xfId="0" applyNumberFormat="1" applyFont="1" applyBorder="1" applyAlignment="1">
      <alignment horizontal="center"/>
    </xf>
    <xf numFmtId="166" fontId="3" fillId="0" borderId="0" xfId="0" applyNumberFormat="1" applyFont="1"/>
    <xf numFmtId="166" fontId="1" fillId="0" borderId="33" xfId="0" applyNumberFormat="1" applyFont="1" applyBorder="1" applyAlignment="1">
      <alignment horizontal="center"/>
    </xf>
    <xf numFmtId="166" fontId="1" fillId="3" borderId="36" xfId="0" applyNumberFormat="1" applyFont="1" applyFill="1" applyBorder="1"/>
    <xf numFmtId="166" fontId="3" fillId="0" borderId="24" xfId="0" applyNumberFormat="1" applyFont="1" applyBorder="1"/>
    <xf numFmtId="166" fontId="3" fillId="0" borderId="25" xfId="0" applyNumberFormat="1" applyFont="1" applyBorder="1"/>
    <xf numFmtId="166" fontId="3" fillId="0" borderId="3" xfId="0" applyNumberFormat="1" applyFont="1" applyBorder="1"/>
    <xf numFmtId="166" fontId="3" fillId="0" borderId="39" xfId="0" applyNumberFormat="1" applyFont="1" applyBorder="1"/>
    <xf numFmtId="166" fontId="3" fillId="0" borderId="43" xfId="0" applyNumberFormat="1" applyFont="1" applyBorder="1"/>
    <xf numFmtId="166" fontId="3" fillId="0" borderId="6" xfId="0" applyNumberFormat="1" applyFont="1" applyBorder="1"/>
    <xf numFmtId="166" fontId="3" fillId="0" borderId="44" xfId="0" applyNumberFormat="1" applyFont="1" applyBorder="1"/>
    <xf numFmtId="166" fontId="3" fillId="0" borderId="11" xfId="0" applyNumberFormat="1" applyFont="1" applyBorder="1"/>
    <xf numFmtId="166" fontId="1" fillId="0" borderId="0" xfId="0" applyNumberFormat="1" applyFont="1"/>
    <xf numFmtId="166" fontId="1" fillId="0" borderId="0" xfId="1" applyNumberFormat="1" applyFont="1"/>
    <xf numFmtId="164" fontId="1" fillId="0" borderId="27" xfId="0" applyNumberFormat="1" applyFont="1" applyBorder="1" applyAlignment="1">
      <alignment horizontal="center"/>
    </xf>
    <xf numFmtId="164" fontId="1" fillId="0" borderId="29" xfId="0" applyNumberFormat="1" applyFont="1" applyBorder="1"/>
    <xf numFmtId="164" fontId="1" fillId="8" borderId="56" xfId="1" applyNumberFormat="1" applyFont="1" applyFill="1" applyBorder="1"/>
    <xf numFmtId="164" fontId="1" fillId="3" borderId="56" xfId="0" applyNumberFormat="1" applyFont="1" applyFill="1" applyBorder="1"/>
    <xf numFmtId="164" fontId="1" fillId="0" borderId="56" xfId="0" applyNumberFormat="1" applyFont="1" applyBorder="1"/>
    <xf numFmtId="164" fontId="3" fillId="0" borderId="56" xfId="1" applyNumberFormat="1" applyFont="1" applyFill="1" applyBorder="1"/>
    <xf numFmtId="164" fontId="1" fillId="0" borderId="22" xfId="0" applyNumberFormat="1" applyFont="1" applyBorder="1" applyAlignment="1">
      <alignment horizontal="center"/>
    </xf>
    <xf numFmtId="164" fontId="1" fillId="0" borderId="36" xfId="1" applyNumberFormat="1" applyFont="1" applyFill="1" applyBorder="1"/>
    <xf numFmtId="164" fontId="1" fillId="3" borderId="37" xfId="0" applyNumberFormat="1" applyFont="1" applyFill="1" applyBorder="1"/>
    <xf numFmtId="164" fontId="1" fillId="3" borderId="28" xfId="0" applyNumberFormat="1" applyFont="1" applyFill="1" applyBorder="1"/>
    <xf numFmtId="164" fontId="1" fillId="0" borderId="37" xfId="0" applyNumberFormat="1" applyFont="1" applyBorder="1"/>
    <xf numFmtId="164" fontId="3" fillId="0" borderId="40" xfId="0" applyNumberFormat="1" applyFont="1" applyBorder="1"/>
    <xf numFmtId="164" fontId="3" fillId="0" borderId="41" xfId="0" applyNumberFormat="1" applyFont="1" applyBorder="1"/>
    <xf numFmtId="164" fontId="3" fillId="0" borderId="44" xfId="1" applyNumberFormat="1" applyFont="1" applyFill="1" applyBorder="1"/>
    <xf numFmtId="164" fontId="3" fillId="0" borderId="45" xfId="0" applyNumberFormat="1" applyFont="1" applyBorder="1"/>
    <xf numFmtId="164" fontId="1" fillId="0" borderId="28" xfId="0" applyNumberFormat="1" applyFont="1" applyBorder="1"/>
    <xf numFmtId="164" fontId="3" fillId="0" borderId="47" xfId="0" applyNumberFormat="1" applyFont="1" applyBorder="1"/>
    <xf numFmtId="164" fontId="3" fillId="0" borderId="48" xfId="0" applyNumberFormat="1" applyFont="1" applyBorder="1"/>
    <xf numFmtId="164" fontId="1" fillId="0" borderId="0" xfId="1" applyNumberFormat="1" applyFont="1"/>
    <xf numFmtId="0" fontId="16" fillId="0" borderId="56" xfId="0" applyFont="1" applyBorder="1" applyAlignment="1">
      <alignment horizontal="left"/>
    </xf>
    <xf numFmtId="16" fontId="3" fillId="9" borderId="3" xfId="0" applyNumberFormat="1" applyFont="1" applyFill="1" applyBorder="1" applyAlignment="1">
      <alignment horizontal="center"/>
    </xf>
    <xf numFmtId="16" fontId="3" fillId="9" borderId="17" xfId="0" applyNumberFormat="1" applyFont="1" applyFill="1" applyBorder="1" applyAlignment="1">
      <alignment horizontal="center"/>
    </xf>
    <xf numFmtId="16" fontId="3" fillId="9" borderId="18" xfId="0" applyNumberFormat="1" applyFont="1" applyFill="1" applyBorder="1" applyAlignment="1">
      <alignment horizontal="center"/>
    </xf>
    <xf numFmtId="16" fontId="3" fillId="9" borderId="2" xfId="0" applyNumberFormat="1" applyFont="1" applyFill="1" applyBorder="1" applyAlignment="1">
      <alignment horizontal="center"/>
    </xf>
    <xf numFmtId="164" fontId="3" fillId="0" borderId="57" xfId="0" applyNumberFormat="1" applyFont="1" applyBorder="1"/>
    <xf numFmtId="0" fontId="17" fillId="0" borderId="56" xfId="0" applyFont="1" applyBorder="1" applyAlignment="1">
      <alignment horizontal="left"/>
    </xf>
    <xf numFmtId="164" fontId="18" fillId="3" borderId="56" xfId="1" applyNumberFormat="1" applyFont="1" applyFill="1" applyBorder="1"/>
    <xf numFmtId="3" fontId="3" fillId="0" borderId="0" xfId="0" applyNumberFormat="1" applyFont="1"/>
    <xf numFmtId="3" fontId="3" fillId="0" borderId="0" xfId="0" applyNumberFormat="1" applyFont="1" applyAlignment="1">
      <alignment horizontal="left"/>
    </xf>
    <xf numFmtId="3" fontId="1" fillId="0" borderId="26" xfId="0" applyNumberFormat="1" applyFont="1" applyBorder="1"/>
    <xf numFmtId="3" fontId="1" fillId="0" borderId="0" xfId="0" applyNumberFormat="1" applyFont="1" applyAlignment="1">
      <alignment horizontal="center"/>
    </xf>
    <xf numFmtId="3" fontId="3" fillId="0" borderId="56" xfId="0" applyNumberFormat="1" applyFont="1" applyBorder="1"/>
    <xf numFmtId="3" fontId="1" fillId="0" borderId="56" xfId="0" applyNumberFormat="1" applyFont="1" applyBorder="1" applyAlignment="1">
      <alignment horizontal="center"/>
    </xf>
    <xf numFmtId="3" fontId="1" fillId="2" borderId="56" xfId="0" applyNumberFormat="1" applyFont="1" applyFill="1" applyBorder="1"/>
    <xf numFmtId="3" fontId="1" fillId="0" borderId="33" xfId="0" applyNumberFormat="1" applyFont="1" applyBorder="1" applyAlignment="1">
      <alignment horizontal="center"/>
    </xf>
    <xf numFmtId="3" fontId="1" fillId="2" borderId="35" xfId="0" applyNumberFormat="1" applyFont="1" applyFill="1" applyBorder="1"/>
    <xf numFmtId="3" fontId="3" fillId="0" borderId="24" xfId="0" applyNumberFormat="1" applyFont="1" applyBorder="1"/>
    <xf numFmtId="3" fontId="3" fillId="0" borderId="3" xfId="0" applyNumberFormat="1" applyFont="1" applyBorder="1"/>
    <xf numFmtId="3" fontId="3" fillId="0" borderId="39" xfId="0" applyNumberFormat="1" applyFont="1" applyBorder="1"/>
    <xf numFmtId="3" fontId="3" fillId="0" borderId="44" xfId="0" applyNumberFormat="1" applyFont="1" applyBorder="1"/>
    <xf numFmtId="3" fontId="3" fillId="0" borderId="6" xfId="0" applyNumberFormat="1" applyFont="1" applyBorder="1"/>
    <xf numFmtId="3" fontId="1" fillId="0" borderId="0" xfId="1" applyNumberFormat="1" applyFont="1"/>
    <xf numFmtId="3" fontId="2" fillId="0" borderId="0" xfId="0" applyNumberFormat="1" applyFont="1"/>
    <xf numFmtId="49" fontId="1" fillId="10" borderId="16" xfId="0" applyNumberFormat="1" applyFont="1" applyFill="1" applyBorder="1" applyAlignment="1">
      <alignment horizontal="center"/>
    </xf>
    <xf numFmtId="164" fontId="1" fillId="0" borderId="3" xfId="0" applyNumberFormat="1" applyFont="1" applyBorder="1"/>
    <xf numFmtId="164" fontId="1" fillId="0" borderId="6" xfId="0" applyNumberFormat="1" applyFont="1" applyBorder="1"/>
    <xf numFmtId="164" fontId="1" fillId="0" borderId="11" xfId="0" applyNumberFormat="1" applyFont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3" fillId="0" borderId="7" xfId="0" applyFont="1" applyBorder="1" applyAlignment="1">
      <alignment horizontal="center" vertical="top"/>
    </xf>
    <xf numFmtId="9" fontId="3" fillId="0" borderId="8" xfId="0" applyNumberFormat="1" applyFont="1" applyBorder="1" applyAlignment="1">
      <alignment horizontal="center" vertical="top"/>
    </xf>
    <xf numFmtId="3" fontId="3" fillId="0" borderId="9" xfId="0" applyNumberFormat="1" applyFont="1" applyBorder="1" applyAlignment="1">
      <alignment horizontal="center" vertical="top"/>
    </xf>
    <xf numFmtId="0" fontId="3" fillId="2" borderId="3" xfId="0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 vertical="top"/>
    </xf>
    <xf numFmtId="0" fontId="4" fillId="9" borderId="11" xfId="0" applyFont="1" applyFill="1" applyBorder="1" applyAlignment="1"/>
    <xf numFmtId="0" fontId="4" fillId="9" borderId="12" xfId="0" applyFont="1" applyFill="1" applyBorder="1" applyAlignment="1"/>
    <xf numFmtId="0" fontId="4" fillId="0" borderId="13" xfId="0" applyFont="1" applyBorder="1" applyAlignment="1"/>
    <xf numFmtId="0" fontId="4" fillId="0" borderId="14" xfId="0" applyFont="1" applyBorder="1" applyAlignment="1"/>
    <xf numFmtId="3" fontId="4" fillId="0" borderId="15" xfId="0" applyNumberFormat="1" applyFont="1" applyBorder="1" applyAlignment="1"/>
    <xf numFmtId="0" fontId="4" fillId="0" borderId="19" xfId="0" applyFont="1" applyBorder="1" applyAlignment="1"/>
    <xf numFmtId="0" fontId="4" fillId="0" borderId="20" xfId="0" applyFont="1" applyBorder="1" applyAlignment="1"/>
    <xf numFmtId="3" fontId="4" fillId="0" borderId="21" xfId="0" applyNumberFormat="1" applyFont="1" applyBorder="1" applyAlignment="1"/>
  </cellXfs>
  <cellStyles count="77">
    <cellStyle name="AF Column - IBM Cognos" xfId="2" xr:uid="{784E80CA-BCBD-4FFF-98B0-73591471A988}"/>
    <cellStyle name="AF Data - IBM Cognos" xfId="3" xr:uid="{0A2927E9-F8CC-4F4B-9D6F-F94F0BBC3EA2}"/>
    <cellStyle name="AF Data 0 - IBM Cognos" xfId="4" xr:uid="{88D599D3-F9DF-4385-8CDB-01B6331BD903}"/>
    <cellStyle name="AF Data 1 - IBM Cognos" xfId="5" xr:uid="{D3B97BC5-890D-4C7D-AC72-18CE1C4F9AE2}"/>
    <cellStyle name="AF Data 2 - IBM Cognos" xfId="6" xr:uid="{EDA6544C-1B6C-446B-8E0C-BDF53CF37253}"/>
    <cellStyle name="AF Data 3 - IBM Cognos" xfId="7" xr:uid="{6720CA14-2C1D-4BFA-B5FE-E54F0BC18C8E}"/>
    <cellStyle name="AF Data 4 - IBM Cognos" xfId="8" xr:uid="{D5C685A6-0334-44AC-855B-668F2F254A2F}"/>
    <cellStyle name="AF Data 5 - IBM Cognos" xfId="9" xr:uid="{D9F81550-3731-465E-86E5-F59A1270AD79}"/>
    <cellStyle name="AF Data Leaf - IBM Cognos" xfId="10" xr:uid="{1AAFBEC0-3C49-4B6E-915C-35E2B37A76F5}"/>
    <cellStyle name="AF Header - IBM Cognos" xfId="11" xr:uid="{02361CD8-84B6-4777-967E-B270F9F9A2C4}"/>
    <cellStyle name="AF Header 0 - IBM Cognos" xfId="12" xr:uid="{7E9478D4-B167-4031-9BFB-2CB5D6F9E812}"/>
    <cellStyle name="AF Header 1 - IBM Cognos" xfId="13" xr:uid="{79FD050C-9CCA-4C38-9D4B-7277407B09F7}"/>
    <cellStyle name="AF Header 2 - IBM Cognos" xfId="14" xr:uid="{A09D2313-0053-493F-8247-AB7F9E490C00}"/>
    <cellStyle name="AF Header 3 - IBM Cognos" xfId="15" xr:uid="{02B9D689-84AF-4DD2-8715-BEC91227C2A5}"/>
    <cellStyle name="AF Header 4 - IBM Cognos" xfId="16" xr:uid="{CABF09BD-28B5-4E5A-8A2F-43CE8F5B123E}"/>
    <cellStyle name="AF Header 5 - IBM Cognos" xfId="17" xr:uid="{32A0DEED-DFDC-49A7-A27F-2FE44DD100FE}"/>
    <cellStyle name="AF Header Leaf - IBM Cognos" xfId="18" xr:uid="{F6E39577-5AC0-4191-BECA-3E371A7A7112}"/>
    <cellStyle name="AF Row - IBM Cognos" xfId="19" xr:uid="{E776CE0F-713A-4DE8-9B22-F8AA8E305786}"/>
    <cellStyle name="AF Row 0 - IBM Cognos" xfId="20" xr:uid="{BBEB046B-79E5-4D34-BC31-5652D8054429}"/>
    <cellStyle name="AF Row 1 - IBM Cognos" xfId="21" xr:uid="{F8CF8604-C948-4888-B35F-9BB8F043377A}"/>
    <cellStyle name="AF Row 2 - IBM Cognos" xfId="22" xr:uid="{387173EF-3A92-4EA8-9EC8-CAD4E0D879D4}"/>
    <cellStyle name="AF Row 3 - IBM Cognos" xfId="23" xr:uid="{F9230461-DEB0-43F3-B67D-41483A5B556B}"/>
    <cellStyle name="AF Row 4 - IBM Cognos" xfId="24" xr:uid="{45E1A2C7-233B-4E83-A3AC-28075B93478E}"/>
    <cellStyle name="AF Row 5 - IBM Cognos" xfId="25" xr:uid="{AFF72120-DC70-4BCD-B699-BF78B40CF71B}"/>
    <cellStyle name="AF Row Leaf - IBM Cognos" xfId="26" xr:uid="{65D48D06-46F3-4293-89C6-969B0766B999}"/>
    <cellStyle name="AF Subnm - IBM Cognos" xfId="27" xr:uid="{DDF93C7B-3C3A-448E-ACF5-D762C09A6878}"/>
    <cellStyle name="AF Title - IBM Cognos" xfId="28" xr:uid="{FC9892B7-BC2E-4B9E-8D29-F300CE70A6B7}"/>
    <cellStyle name="Calculated Column - IBM Cognos" xfId="29" xr:uid="{2B0F9660-A531-47A7-AAF5-C78BC38A8396}"/>
    <cellStyle name="Calculated Column Name - IBM Cognos" xfId="30" xr:uid="{C81ABF16-979B-49DF-BC9E-B4ED268E7269}"/>
    <cellStyle name="Calculated Row - IBM Cognos" xfId="31" xr:uid="{455AE44E-9D46-4BA0-A6C2-AD9981283987}"/>
    <cellStyle name="Calculated Row Name - IBM Cognos" xfId="32" xr:uid="{C9985179-4660-4296-A565-0DF8C1C8941E}"/>
    <cellStyle name="Column Name - IBM Cognos" xfId="33" xr:uid="{E2D72F0D-7DD2-4223-B6C9-24C6570F46B9}"/>
    <cellStyle name="Column Template - IBM Cognos" xfId="34" xr:uid="{007C494D-4963-4514-84A7-CEEDFEDD3D08}"/>
    <cellStyle name="Currency" xfId="1" builtinId="4"/>
    <cellStyle name="Differs From Base - IBM Cognos" xfId="35" xr:uid="{3222B180-F08E-46EA-9AA2-F0CA086EC340}"/>
    <cellStyle name="DQR Column 0 - IBM Cognos" xfId="36" xr:uid="{D7893E21-1925-43D7-9FCB-9CC5968677CA}"/>
    <cellStyle name="DQR Column 1 - IBM Cognos" xfId="37" xr:uid="{9529B430-1121-486E-9502-4E8CDCBD3DAB}"/>
    <cellStyle name="DQR Column 2 - IBM Cognos" xfId="38" xr:uid="{094008F1-E6DA-40E0-97B8-FEACDF83AE7A}"/>
    <cellStyle name="DQR Column 3 - IBM Cognos" xfId="39" xr:uid="{A90C747B-F83B-42F0-8E5A-8F43C2FDC019}"/>
    <cellStyle name="DQR Column 4 - IBM Cognos" xfId="40" xr:uid="{13CFFF38-B20A-4CB5-BB62-9C9C30D0A5F5}"/>
    <cellStyle name="DQR Column 5 - IBM Cognos" xfId="41" xr:uid="{46BF09FC-2646-486F-B687-AB20CBD5EC00}"/>
    <cellStyle name="DQR Column Default - IBM Cognos" xfId="42" xr:uid="{676EE005-72B7-41AE-9467-1454C98E829A}"/>
    <cellStyle name="DQR Column Leaf - IBM Cognos" xfId="43" xr:uid="{C2564DCF-B856-4DF2-9164-FC2D5DEBEF5C}"/>
    <cellStyle name="DQR Data Default - IBM Cognos" xfId="44" xr:uid="{F60E2302-5FF3-42D2-AF1A-815B345DBFAB}"/>
    <cellStyle name="DQR Default - IBM Cognos" xfId="45" xr:uid="{5A773E65-59D3-4533-BDF6-86A137ACCF62}"/>
    <cellStyle name="DQR Gutter Default - IBM Cognos" xfId="46" xr:uid="{5DD856AA-9122-434D-994A-0003A917BC5B}"/>
    <cellStyle name="DQR Row 0 - IBM Cognos" xfId="47" xr:uid="{AD18F835-13ED-48AE-AFB4-C26CB9C61D79}"/>
    <cellStyle name="DQR Row 1 - IBM Cognos" xfId="48" xr:uid="{2D2D1E7C-2688-4365-A4C3-B47F5C7463FB}"/>
    <cellStyle name="DQR Row 2 - IBM Cognos" xfId="49" xr:uid="{1F38CD12-DF1A-46B9-87EB-EC7A3C84B95F}"/>
    <cellStyle name="DQR Row 3 - IBM Cognos" xfId="50" xr:uid="{E2C2ADB6-6145-483B-983C-940F89405124}"/>
    <cellStyle name="DQR Row 4 - IBM Cognos" xfId="51" xr:uid="{565A7951-AA8B-463F-BBC2-78FC12B50455}"/>
    <cellStyle name="DQR Row 5 - IBM Cognos" xfId="52" xr:uid="{D37B8EDD-BAB0-480B-B0DF-D857DDBE04A4}"/>
    <cellStyle name="DQR Row Default - IBM Cognos" xfId="53" xr:uid="{68DFA4FA-0AEE-4E57-9A05-79424AC992D9}"/>
    <cellStyle name="DQR Row Leaf - IBM Cognos" xfId="54" xr:uid="{78A4874F-443A-478F-BB95-C32AA6F54CCD}"/>
    <cellStyle name="Edit - IBM Cognos" xfId="55" xr:uid="{EBE23695-8DB8-424D-9F50-D5985AF6FF58}"/>
    <cellStyle name="Formula - IBM Cognos" xfId="56" xr:uid="{C5E3326B-F474-4CC4-B9C0-3C5ACA7F64F4}"/>
    <cellStyle name="Group Name - IBM Cognos" xfId="57" xr:uid="{C4490460-C211-4405-AF5B-C4394CAEC19D}"/>
    <cellStyle name="Hold Values - IBM Cognos" xfId="58" xr:uid="{E4366C22-17B2-4DAC-83FA-02F05B8A4BAF}"/>
    <cellStyle name="List Name - IBM Cognos" xfId="59" xr:uid="{FC1BB8B3-8A5A-4C93-9B9D-29C42BB9D811}"/>
    <cellStyle name="Locked - IBM Cognos" xfId="60" xr:uid="{B7433D76-3518-4ACF-920D-8858A2200D87}"/>
    <cellStyle name="Measure - IBM Cognos" xfId="61" xr:uid="{213D0BEF-6BE3-4A42-B8A1-AE512FF4F2F5}"/>
    <cellStyle name="Measure Header - IBM Cognos" xfId="62" xr:uid="{D38BF72C-5C86-4646-803E-D1F859512179}"/>
    <cellStyle name="Measure Name - IBM Cognos" xfId="63" xr:uid="{28916ED6-67A1-450E-882A-B97EBB7E7D58}"/>
    <cellStyle name="Measure Summary - IBM Cognos" xfId="64" xr:uid="{B3F66820-0C72-4A23-9C65-D12D48062FD5}"/>
    <cellStyle name="Measure Summary TM1 - IBM Cognos" xfId="65" xr:uid="{D8E3C07B-DE0A-4247-885E-A204E5F95058}"/>
    <cellStyle name="Measure Template - IBM Cognos" xfId="66" xr:uid="{ACB891A8-C5D9-4E30-B1CE-8A88CB2269E1}"/>
    <cellStyle name="More - IBM Cognos" xfId="67" xr:uid="{156DD1C3-11B4-470A-93C7-D6A49B0AC2A3}"/>
    <cellStyle name="Normal" xfId="0" builtinId="0" customBuiltin="1"/>
    <cellStyle name="Normal 2" xfId="76" xr:uid="{319724CE-C178-41F1-808A-E26939D3D59B}"/>
    <cellStyle name="Pending Change - IBM Cognos" xfId="68" xr:uid="{634A1530-21BC-4FE1-8E25-CACA2FB78E0E}"/>
    <cellStyle name="Row Name - IBM Cognos" xfId="69" xr:uid="{F2C42710-28A6-4DA6-99BD-67E1549628BB}"/>
    <cellStyle name="Row Template - IBM Cognos" xfId="70" xr:uid="{1BE92F23-2D12-4688-8240-5C9AB77D744C}"/>
    <cellStyle name="Summary Column Name - IBM Cognos" xfId="71" xr:uid="{12ED9EB6-0C22-40A4-A7A7-A3BA38AB0B4C}"/>
    <cellStyle name="Summary Column Name TM1 - IBM Cognos" xfId="72" xr:uid="{889B3B70-6799-4098-9DAB-E229AEB38F67}"/>
    <cellStyle name="Summary Row Name - IBM Cognos" xfId="73" xr:uid="{4BC8A4CC-ED84-4936-A433-6F2BF91E067D}"/>
    <cellStyle name="Summary Row Name TM1 - IBM Cognos" xfId="74" xr:uid="{538617D6-33C8-40BA-968E-D385DC3BAFC4}"/>
    <cellStyle name="Unsaved Change - IBM Cognos" xfId="75" xr:uid="{567164D0-39A5-4432-AF55-B52F2DDED2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A6AB4-80BA-4F12-8B85-C90C459122BF}">
  <dimension ref="A1"/>
  <sheetViews>
    <sheetView workbookViewId="0"/>
  </sheetViews>
  <sheetFormatPr defaultRowHeight="12.6"/>
  <sheetData/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300A-F253-48D2-ABB4-6FE36FCCD1F4}">
  <dimension ref="A1:X1307"/>
  <sheetViews>
    <sheetView showGridLines="0" tabSelected="1" zoomScale="83" zoomScaleNormal="93" workbookViewId="0">
      <pane xSplit="4" ySplit="8" topLeftCell="E9" activePane="bottomRight" state="frozen"/>
      <selection pane="bottomRight" activeCell="F12" sqref="F12"/>
      <selection pane="bottomLeft" activeCell="A9" sqref="A9"/>
      <selection pane="topRight" activeCell="E1" sqref="E1"/>
    </sheetView>
  </sheetViews>
  <sheetFormatPr defaultColWidth="12.5703125" defaultRowHeight="15" customHeight="1" outlineLevelRow="1"/>
  <cols>
    <col min="1" max="1" width="2.140625" style="4" customWidth="1"/>
    <col min="2" max="2" width="27.140625" style="4" customWidth="1"/>
    <col min="3" max="3" width="18.5703125" style="4" customWidth="1"/>
    <col min="4" max="4" width="19.42578125" style="130" customWidth="1"/>
    <col min="5" max="5" width="10.85546875" style="4" customWidth="1"/>
    <col min="6" max="6" width="12.140625" style="59" customWidth="1"/>
    <col min="7" max="8" width="11.5703125" style="4" customWidth="1"/>
    <col min="9" max="9" width="12.42578125" style="4" customWidth="1"/>
    <col min="10" max="10" width="11" style="4" customWidth="1"/>
    <col min="11" max="11" width="11.85546875" style="59" bestFit="1" customWidth="1"/>
    <col min="12" max="12" width="11" style="4" customWidth="1"/>
    <col min="13" max="13" width="13.140625" style="4" customWidth="1"/>
    <col min="14" max="14" width="11.85546875" style="4" customWidth="1"/>
    <col min="15" max="15" width="13" style="4" customWidth="1"/>
    <col min="16" max="16" width="12.140625" style="4" customWidth="1"/>
    <col min="17" max="17" width="12.5703125" style="4" customWidth="1"/>
    <col min="18" max="18" width="12.140625" style="4" customWidth="1"/>
    <col min="19" max="19" width="20" style="4" customWidth="1"/>
    <col min="20" max="20" width="15.5703125" style="4" customWidth="1"/>
    <col min="21" max="21" width="11" style="4" customWidth="1"/>
    <col min="22" max="22" width="13.5703125" style="4" customWidth="1"/>
    <col min="23" max="23" width="10.140625" style="4" customWidth="1"/>
    <col min="24" max="24" width="8.85546875" style="4" customWidth="1"/>
    <col min="25" max="16384" width="12.5703125" style="4"/>
  </cols>
  <sheetData>
    <row r="1" spans="1:24" ht="12.75" customHeight="1">
      <c r="A1" s="1"/>
      <c r="B1" s="1"/>
      <c r="C1" s="2"/>
      <c r="D1" s="58"/>
      <c r="E1" s="1"/>
      <c r="F1" s="3"/>
      <c r="G1" s="1"/>
      <c r="H1" s="1"/>
      <c r="I1" s="1"/>
      <c r="J1" s="1"/>
      <c r="K1" s="3"/>
      <c r="L1" s="1"/>
      <c r="M1" s="1"/>
      <c r="N1" s="1"/>
      <c r="O1" s="1"/>
      <c r="P1" s="1"/>
      <c r="Q1" s="1" t="s">
        <v>0</v>
      </c>
      <c r="R1" s="1" t="s">
        <v>1</v>
      </c>
      <c r="S1" s="1"/>
      <c r="T1" s="1"/>
      <c r="U1" s="1"/>
      <c r="V1" s="1"/>
      <c r="W1" s="1"/>
      <c r="X1" s="1"/>
    </row>
    <row r="2" spans="1:24" ht="12.75" customHeight="1">
      <c r="A2" s="1"/>
      <c r="B2" s="5" t="s">
        <v>2</v>
      </c>
      <c r="C2" s="6" t="s">
        <v>3</v>
      </c>
      <c r="D2" s="115"/>
      <c r="E2" s="8"/>
      <c r="F2" s="132" t="s">
        <v>4</v>
      </c>
      <c r="G2" s="9"/>
      <c r="H2" s="10"/>
      <c r="I2" s="1"/>
      <c r="J2" s="1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1"/>
      <c r="X2" s="1"/>
    </row>
    <row r="3" spans="1:24" ht="12.75" customHeight="1">
      <c r="A3" s="1"/>
      <c r="B3" s="12" t="s">
        <v>5</v>
      </c>
      <c r="C3" s="13">
        <f>D413</f>
        <v>33707478.409500003</v>
      </c>
      <c r="D3" s="116"/>
      <c r="E3" s="15"/>
      <c r="F3" s="133" t="s">
        <v>6</v>
      </c>
      <c r="G3" s="16"/>
      <c r="H3" s="17"/>
      <c r="I3" s="1"/>
      <c r="J3" s="18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2.75" customHeight="1">
      <c r="A4" s="1"/>
      <c r="B4" s="7"/>
      <c r="C4" s="19"/>
      <c r="D4" s="116"/>
      <c r="E4" s="1"/>
      <c r="F4" s="3"/>
      <c r="G4" s="1"/>
      <c r="H4" s="1"/>
      <c r="I4" s="1"/>
      <c r="J4" s="1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2.75" customHeight="1">
      <c r="A5" s="1"/>
      <c r="B5" s="136" t="s">
        <v>7</v>
      </c>
      <c r="C5" s="137" t="s">
        <v>8</v>
      </c>
      <c r="D5" s="138" t="s">
        <v>9</v>
      </c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40" t="s">
        <v>10</v>
      </c>
      <c r="R5" s="141"/>
      <c r="S5" s="141"/>
      <c r="T5" s="142"/>
      <c r="U5" s="1"/>
      <c r="V5" s="1"/>
      <c r="W5" s="1"/>
      <c r="X5" s="1"/>
    </row>
    <row r="6" spans="1:24" ht="12.75" customHeight="1">
      <c r="A6" s="1"/>
      <c r="B6" s="143"/>
      <c r="C6" s="144"/>
      <c r="D6" s="145"/>
      <c r="E6" s="20" t="s">
        <v>0</v>
      </c>
      <c r="F6" s="134" t="s">
        <v>0</v>
      </c>
      <c r="G6" s="131" t="s">
        <v>0</v>
      </c>
      <c r="H6" s="131" t="s">
        <v>0</v>
      </c>
      <c r="I6" s="21" t="s">
        <v>1</v>
      </c>
      <c r="J6" s="21" t="s">
        <v>1</v>
      </c>
      <c r="K6" s="22" t="s">
        <v>1</v>
      </c>
      <c r="L6" s="21" t="s">
        <v>1</v>
      </c>
      <c r="M6" s="21" t="s">
        <v>1</v>
      </c>
      <c r="N6" s="21" t="s">
        <v>1</v>
      </c>
      <c r="O6" s="21" t="s">
        <v>1</v>
      </c>
      <c r="P6" s="21" t="s">
        <v>1</v>
      </c>
      <c r="Q6" s="108" t="s">
        <v>11</v>
      </c>
      <c r="R6" s="109" t="s">
        <v>12</v>
      </c>
      <c r="S6" s="110" t="s">
        <v>13</v>
      </c>
      <c r="T6" s="111" t="s">
        <v>14</v>
      </c>
      <c r="U6" s="1"/>
      <c r="V6" s="1"/>
      <c r="W6" s="1"/>
      <c r="X6" s="1"/>
    </row>
    <row r="7" spans="1:24" ht="12.75" customHeight="1">
      <c r="A7" s="1"/>
      <c r="B7" s="146"/>
      <c r="C7" s="147"/>
      <c r="D7" s="148"/>
      <c r="E7" s="23" t="s">
        <v>15</v>
      </c>
      <c r="F7" s="135" t="s">
        <v>16</v>
      </c>
      <c r="G7" s="23" t="s">
        <v>17</v>
      </c>
      <c r="H7" s="23" t="s">
        <v>18</v>
      </c>
      <c r="I7" s="23" t="s">
        <v>19</v>
      </c>
      <c r="J7" s="23" t="s">
        <v>20</v>
      </c>
      <c r="K7" s="23" t="s">
        <v>21</v>
      </c>
      <c r="L7" s="23" t="s">
        <v>22</v>
      </c>
      <c r="M7" s="23" t="s">
        <v>23</v>
      </c>
      <c r="N7" s="23" t="s">
        <v>24</v>
      </c>
      <c r="O7" s="23" t="s">
        <v>25</v>
      </c>
      <c r="P7" s="23" t="s">
        <v>26</v>
      </c>
      <c r="Q7" s="24"/>
      <c r="R7" s="25"/>
      <c r="S7" s="25"/>
      <c r="T7" s="26"/>
      <c r="U7" s="1"/>
      <c r="V7" s="1"/>
      <c r="W7" s="1"/>
      <c r="X7" s="1"/>
    </row>
    <row r="8" spans="1:24" ht="12.75" customHeight="1">
      <c r="A8" s="1"/>
      <c r="B8" s="60" t="s">
        <v>27</v>
      </c>
      <c r="C8" s="27">
        <f>(SUM(E8:H8)/D8)</f>
        <v>0.55117029220625069</v>
      </c>
      <c r="D8" s="117">
        <f>D413</f>
        <v>33707478.409500003</v>
      </c>
      <c r="E8" s="71">
        <f t="shared" ref="E8:J8" si="0">SUM(E21+E34+E48+E61+E75+E88+E101+E114+E127+E140+E153+E165+E217+E230+E178+E191+E204+E243+E256+E270+E284+E298)</f>
        <v>0</v>
      </c>
      <c r="F8" s="28">
        <f t="shared" si="0"/>
        <v>11787301.554000003</v>
      </c>
      <c r="G8" s="28">
        <f t="shared" si="0"/>
        <v>2692098.1944999998</v>
      </c>
      <c r="H8" s="28">
        <f t="shared" si="0"/>
        <v>4099160.9760000003</v>
      </c>
      <c r="I8" s="28">
        <f t="shared" si="0"/>
        <v>2629214.6742369975</v>
      </c>
      <c r="J8" s="28">
        <f t="shared" si="0"/>
        <v>2384619.020867792</v>
      </c>
      <c r="K8" s="28">
        <f>SUM(K21+K34+K48+K61+K75+K88+K101+K114+K127+K140+K153+K165+K217+K230+K178+K191+K204+K256+K270+K284+K298+K243)</f>
        <v>2534941.6179205542</v>
      </c>
      <c r="L8" s="28">
        <f>SUM(L21+L34+L48+L61+L75+L88+L101+L114+L127+L140+L153+L165+L217+L230+L178+L191+L204+L256+L270+L284+L298+L243+L312+L326+L340+L354+L368+L382+L396)</f>
        <v>2574573.8686081469</v>
      </c>
      <c r="M8" s="28">
        <f>SUM(M21+M34+M48+M61+M75+M88+M101+M114+M127+M140+M153+M165+M217+M230+M178+M191+M204+M256+M270+M284+M298+M243+M312+M326+M340+M354+M368+M382+M396)</f>
        <v>3028015.837029723</v>
      </c>
      <c r="N8" s="28">
        <f>SUM(N21+N34+N48+N61+N75+N88+N101+N114+N127+N140+N153+N165+N217+N230+N178+N191+N204+N256+N270+N284+N298+N243+N312+N326+N340+N354+N368+N382+N396)</f>
        <v>612057.55030146416</v>
      </c>
      <c r="O8" s="28">
        <f>SUM(O21+O34+O48+O61+O75+O88+O101+O114+O127+O140+O153+O165+O217+O230+O178+O191+O204+O256+O270+O284+O298+O243+O312+O326+O340+O354+O368+O382+O396)</f>
        <v>594751.70429628086</v>
      </c>
      <c r="P8" s="28">
        <f>SUM(P21+P34+P48+P61+P75+P88+P101+P114+P127+P140+P153+P165+P217+P230+P178+P191+P204+P256+P270+P284+P298+P243+P312+P326+P340+P354+P368+P382+P396)</f>
        <v>771229.5816198492</v>
      </c>
      <c r="Q8" s="88">
        <f>SUM(E8:H8)</f>
        <v>18578560.724500004</v>
      </c>
      <c r="R8" s="88">
        <f>SUM(I8:P8)</f>
        <v>15129403.85488081</v>
      </c>
      <c r="S8" s="88">
        <f>R8+Q8</f>
        <v>33707964.57938081</v>
      </c>
      <c r="T8" s="89">
        <f>D8-S8</f>
        <v>-486.16988080739975</v>
      </c>
      <c r="U8" s="1"/>
      <c r="V8" s="11"/>
      <c r="W8" s="1"/>
      <c r="X8" s="1"/>
    </row>
    <row r="9" spans="1:24" ht="12.75" customHeight="1">
      <c r="A9" s="1"/>
      <c r="B9" s="29"/>
      <c r="C9" s="30"/>
      <c r="D9" s="118"/>
      <c r="E9" s="72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1"/>
      <c r="V9" s="1"/>
      <c r="W9" s="1"/>
      <c r="X9" s="1"/>
    </row>
    <row r="10" spans="1:24" ht="14.45" customHeight="1">
      <c r="A10" s="1"/>
      <c r="B10" s="113" t="s">
        <v>28</v>
      </c>
      <c r="C10" s="62"/>
      <c r="D10" s="119"/>
      <c r="E10" s="7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1"/>
      <c r="V10" s="1"/>
      <c r="W10" s="1"/>
      <c r="X10" s="1"/>
    </row>
    <row r="11" spans="1:24" ht="12.75" customHeight="1">
      <c r="A11" s="1"/>
      <c r="B11" s="61" t="s">
        <v>29</v>
      </c>
      <c r="C11" s="64"/>
      <c r="D11" s="120"/>
      <c r="E11" s="74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1"/>
      <c r="V11" s="1"/>
      <c r="W11" s="1"/>
      <c r="X11" s="1"/>
    </row>
    <row r="12" spans="1:24" ht="12.75" customHeight="1">
      <c r="A12" s="1"/>
      <c r="B12" s="66" t="s">
        <v>30</v>
      </c>
      <c r="C12" s="62">
        <f>(SUM(E12:F12)/D12)</f>
        <v>0.29802240507153555</v>
      </c>
      <c r="D12" s="121">
        <v>92122</v>
      </c>
      <c r="E12" s="70">
        <v>0</v>
      </c>
      <c r="F12" s="67">
        <v>27454.42</v>
      </c>
      <c r="G12" s="67">
        <v>21102.589999999997</v>
      </c>
      <c r="H12" s="67">
        <v>11151.79</v>
      </c>
      <c r="I12" s="67">
        <v>11962.801144000001</v>
      </c>
      <c r="J12" s="67">
        <v>11962.801144000001</v>
      </c>
      <c r="K12" s="67">
        <v>5534.5132159999994</v>
      </c>
      <c r="L12" s="67">
        <v>5534.5132159999994</v>
      </c>
      <c r="M12" s="67">
        <v>5534.5132159999994</v>
      </c>
      <c r="N12" s="67">
        <v>0</v>
      </c>
      <c r="O12" s="67">
        <v>0</v>
      </c>
      <c r="P12" s="90">
        <v>0</v>
      </c>
      <c r="Q12" s="91">
        <f>SUMIFS($E12:$P12,$E$6:$P$6,Q$1)</f>
        <v>59708.799999999996</v>
      </c>
      <c r="R12" s="91">
        <f>SUMIFS($E12:$P12,$E$6:$P$6,R$1)</f>
        <v>40529.141936</v>
      </c>
      <c r="S12" s="91">
        <f t="shared" ref="S12:S14" si="1">R12+Q12</f>
        <v>100237.94193599999</v>
      </c>
      <c r="T12" s="92">
        <f>D12-S12</f>
        <v>-8115.9419359999883</v>
      </c>
      <c r="U12" s="1"/>
      <c r="V12" s="1"/>
      <c r="W12" s="1"/>
      <c r="X12" s="1"/>
    </row>
    <row r="13" spans="1:24" ht="12.75" customHeight="1">
      <c r="A13" s="1"/>
      <c r="B13" s="66" t="s">
        <v>31</v>
      </c>
      <c r="C13" s="62" t="e">
        <f t="shared" ref="C13:C14" si="2">(SUM(E13:F13)/D13)</f>
        <v>#DIV/0!</v>
      </c>
      <c r="D13" s="121">
        <v>0</v>
      </c>
      <c r="E13" s="70">
        <v>0</v>
      </c>
      <c r="F13" s="67">
        <v>3451.77</v>
      </c>
      <c r="G13" s="67">
        <v>1058.29</v>
      </c>
      <c r="H13" s="67">
        <v>0</v>
      </c>
      <c r="I13" s="67">
        <v>0</v>
      </c>
      <c r="J13" s="67">
        <v>0</v>
      </c>
      <c r="K13" s="67">
        <v>0</v>
      </c>
      <c r="L13" s="67">
        <v>0</v>
      </c>
      <c r="M13" s="67">
        <v>0</v>
      </c>
      <c r="N13" s="67">
        <v>0</v>
      </c>
      <c r="O13" s="67">
        <v>0</v>
      </c>
      <c r="P13" s="67">
        <v>0</v>
      </c>
      <c r="Q13" s="91">
        <f>SUMIFS($E13:$P13,$E$6:$P$6,Q$1)</f>
        <v>4510.0599999999995</v>
      </c>
      <c r="R13" s="91">
        <f>SUMIFS($E13:$P13,$E$6:$P$6,R$1)</f>
        <v>0</v>
      </c>
      <c r="S13" s="91">
        <f t="shared" si="1"/>
        <v>4510.0599999999995</v>
      </c>
      <c r="T13" s="92">
        <f>D13-S13</f>
        <v>-4510.0599999999995</v>
      </c>
      <c r="U13" s="1"/>
      <c r="V13" s="1"/>
      <c r="W13" s="1"/>
      <c r="X13" s="1"/>
    </row>
    <row r="14" spans="1:24" ht="12.75" customHeight="1">
      <c r="A14" s="1"/>
      <c r="B14" s="66" t="s">
        <v>32</v>
      </c>
      <c r="C14" s="62">
        <f t="shared" si="2"/>
        <v>7.702527958165774E-3</v>
      </c>
      <c r="D14" s="121">
        <v>211119</v>
      </c>
      <c r="E14" s="70">
        <v>0</v>
      </c>
      <c r="F14" s="67">
        <v>1626.15</v>
      </c>
      <c r="G14" s="67">
        <v>27281.149999999998</v>
      </c>
      <c r="H14" s="67">
        <v>113168.59</v>
      </c>
      <c r="I14" s="67">
        <v>21177.200000000001</v>
      </c>
      <c r="J14" s="67">
        <v>10877.2</v>
      </c>
      <c r="K14" s="67">
        <v>10596</v>
      </c>
      <c r="L14" s="67">
        <v>10596</v>
      </c>
      <c r="M14" s="67">
        <v>16452.240099999999</v>
      </c>
      <c r="N14" s="67">
        <v>0</v>
      </c>
      <c r="O14" s="67">
        <v>0</v>
      </c>
      <c r="P14" s="90">
        <v>0</v>
      </c>
      <c r="Q14" s="91">
        <f>SUMIFS($E14:$P14,$E$6:$P$6,Q$1)</f>
        <v>142075.88999999998</v>
      </c>
      <c r="R14" s="91">
        <f>SUMIFS($E14:$P14,$E$6:$P$6,R$1)</f>
        <v>69698.640100000004</v>
      </c>
      <c r="S14" s="91">
        <f t="shared" si="1"/>
        <v>211774.53009999997</v>
      </c>
      <c r="T14" s="92">
        <f>D14-S14</f>
        <v>-655.53009999997448</v>
      </c>
      <c r="U14" s="1"/>
      <c r="V14" s="1"/>
      <c r="W14" s="1"/>
      <c r="X14" s="1"/>
    </row>
    <row r="15" spans="1:24" ht="12.75" customHeight="1">
      <c r="A15" s="1"/>
      <c r="B15" s="61" t="s">
        <v>33</v>
      </c>
      <c r="C15" s="68"/>
      <c r="D15" s="119">
        <f t="shared" ref="D15:F15" si="3">SUM(D12:D14)</f>
        <v>303241</v>
      </c>
      <c r="E15" s="73">
        <f t="shared" si="3"/>
        <v>0</v>
      </c>
      <c r="F15" s="63">
        <f t="shared" si="3"/>
        <v>32532.34</v>
      </c>
      <c r="G15" s="63">
        <f t="shared" ref="G15:P15" si="4">SUM(G12:G14)</f>
        <v>49442.03</v>
      </c>
      <c r="H15" s="63">
        <f t="shared" si="4"/>
        <v>124320.38</v>
      </c>
      <c r="I15" s="63">
        <f t="shared" si="4"/>
        <v>33140.001144000002</v>
      </c>
      <c r="J15" s="63">
        <f t="shared" si="4"/>
        <v>22840.001144000002</v>
      </c>
      <c r="K15" s="63">
        <f t="shared" si="4"/>
        <v>16130.513215999999</v>
      </c>
      <c r="L15" s="63">
        <f t="shared" si="4"/>
        <v>16130.513215999999</v>
      </c>
      <c r="M15" s="63">
        <f t="shared" si="4"/>
        <v>21986.753315999998</v>
      </c>
      <c r="N15" s="63">
        <f t="shared" si="4"/>
        <v>0</v>
      </c>
      <c r="O15" s="63">
        <f t="shared" si="4"/>
        <v>0</v>
      </c>
      <c r="P15" s="63">
        <f t="shared" si="4"/>
        <v>0</v>
      </c>
      <c r="Q15" s="63">
        <f t="shared" ref="Q15:T15" si="5">SUM(Q12:Q14)</f>
        <v>206294.74999999997</v>
      </c>
      <c r="R15" s="63">
        <f t="shared" si="5"/>
        <v>110227.782036</v>
      </c>
      <c r="S15" s="63">
        <f t="shared" si="5"/>
        <v>316522.53203599993</v>
      </c>
      <c r="T15" s="63">
        <f t="shared" si="5"/>
        <v>-13281.532035999962</v>
      </c>
      <c r="U15" s="1"/>
      <c r="V15" s="1"/>
      <c r="W15" s="1"/>
      <c r="X15" s="1"/>
    </row>
    <row r="16" spans="1:24" ht="12.75" customHeight="1">
      <c r="A16" s="1"/>
      <c r="B16" s="61"/>
      <c r="C16" s="68"/>
      <c r="D16" s="119"/>
      <c r="E16" s="7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1"/>
      <c r="V16" s="1"/>
      <c r="W16" s="1"/>
      <c r="X16" s="1"/>
    </row>
    <row r="17" spans="1:24" ht="12.75" customHeight="1">
      <c r="A17" s="1"/>
      <c r="B17" s="61" t="s">
        <v>34</v>
      </c>
      <c r="C17" s="62"/>
      <c r="D17" s="119">
        <v>80397.75</v>
      </c>
      <c r="E17" s="73">
        <v>0</v>
      </c>
      <c r="F17" s="69">
        <v>22790.36</v>
      </c>
      <c r="G17" s="69">
        <v>17310.089999999997</v>
      </c>
      <c r="H17" s="69">
        <v>9806.1200000000008</v>
      </c>
      <c r="I17" s="69">
        <v>9697.5387020439994</v>
      </c>
      <c r="J17" s="69">
        <v>9630.0387020439994</v>
      </c>
      <c r="K17" s="69">
        <v>4498.063670816</v>
      </c>
      <c r="L17" s="69">
        <v>4498.063670816</v>
      </c>
      <c r="M17" s="69">
        <v>4536.4419433160001</v>
      </c>
      <c r="N17" s="69">
        <v>0</v>
      </c>
      <c r="O17" s="69">
        <v>0</v>
      </c>
      <c r="P17" s="93">
        <v>0</v>
      </c>
      <c r="Q17" s="63">
        <f>SUMIFS($E17:$P17,$E$6:$P$6,Q$1)</f>
        <v>49906.57</v>
      </c>
      <c r="R17" s="63">
        <f>SUMIFS($E17:$P17,$E$6:$P$6,R$1)</f>
        <v>32860.146689036002</v>
      </c>
      <c r="S17" s="63">
        <f>R17+Q17</f>
        <v>82766.716689035995</v>
      </c>
      <c r="T17" s="63">
        <f>D17-S17</f>
        <v>-2368.9666890359949</v>
      </c>
      <c r="U17" s="1"/>
      <c r="V17" s="1"/>
      <c r="W17" s="1"/>
      <c r="X17" s="1"/>
    </row>
    <row r="18" spans="1:24" ht="12.75" customHeight="1">
      <c r="A18" s="1"/>
      <c r="B18" s="61"/>
      <c r="C18" s="62"/>
      <c r="D18" s="119"/>
      <c r="E18" s="7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1"/>
      <c r="V18" s="1"/>
      <c r="W18" s="1"/>
      <c r="X18" s="1"/>
    </row>
    <row r="19" spans="1:24" ht="12.75" customHeight="1">
      <c r="A19" s="1"/>
      <c r="B19" s="61" t="s">
        <v>35</v>
      </c>
      <c r="C19" s="62"/>
      <c r="D19" s="119">
        <f>SUM(D15:D18)*0.05+1</f>
        <v>19182.9375</v>
      </c>
      <c r="E19" s="73">
        <f t="shared" ref="E19" si="6">SUM(E15:E18)*0.05</f>
        <v>0</v>
      </c>
      <c r="F19" s="63">
        <f>SUM(F15:F18)*0.05</f>
        <v>2766.1350000000002</v>
      </c>
      <c r="G19" s="63">
        <v>-1551.04</v>
      </c>
      <c r="H19" s="63">
        <f t="shared" ref="H19:P19" si="7">(H15+H17)*0.05</f>
        <v>6706.3250000000007</v>
      </c>
      <c r="I19" s="63">
        <f t="shared" si="7"/>
        <v>2141.8769923022005</v>
      </c>
      <c r="J19" s="63">
        <f t="shared" si="7"/>
        <v>1623.5019923022001</v>
      </c>
      <c r="K19" s="63">
        <f t="shared" si="7"/>
        <v>1031.4288443408002</v>
      </c>
      <c r="L19" s="63">
        <f t="shared" si="7"/>
        <v>1031.4288443408002</v>
      </c>
      <c r="M19" s="63">
        <f t="shared" si="7"/>
        <v>1326.1597629657999</v>
      </c>
      <c r="N19" s="63">
        <f t="shared" si="7"/>
        <v>0</v>
      </c>
      <c r="O19" s="63">
        <f t="shared" si="7"/>
        <v>0</v>
      </c>
      <c r="P19" s="63">
        <f t="shared" si="7"/>
        <v>0</v>
      </c>
      <c r="Q19" s="92">
        <f>SUMIFS($E19:$P19,$E$6:$P$6,Q$1)</f>
        <v>7921.420000000001</v>
      </c>
      <c r="R19" s="92">
        <f>SUMIFS($E19:$P19,$E$6:$P$6,R$1)</f>
        <v>7154.3964362518009</v>
      </c>
      <c r="S19" s="92">
        <f t="shared" ref="S19" si="8">R19+Q19</f>
        <v>15075.816436251802</v>
      </c>
      <c r="T19" s="92">
        <f>D19-S19</f>
        <v>4107.1210637481981</v>
      </c>
      <c r="U19" s="1"/>
      <c r="V19" s="1"/>
      <c r="W19" s="1"/>
      <c r="X19" s="1"/>
    </row>
    <row r="20" spans="1:24" ht="12.75" customHeight="1">
      <c r="A20" s="1"/>
      <c r="B20" s="61"/>
      <c r="C20" s="68"/>
      <c r="D20" s="119"/>
      <c r="E20" s="7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1"/>
      <c r="V20" s="1"/>
      <c r="W20" s="1"/>
      <c r="X20" s="1"/>
    </row>
    <row r="21" spans="1:24" ht="12.75" customHeight="1">
      <c r="A21" s="1"/>
      <c r="B21" s="61" t="s">
        <v>36</v>
      </c>
      <c r="C21" s="62">
        <f>(SUM(E21:F21)/D21)</f>
        <v>0.14420483504875839</v>
      </c>
      <c r="D21" s="119">
        <f>D17+D15+D19</f>
        <v>402821.6875</v>
      </c>
      <c r="E21" s="73">
        <f t="shared" ref="E21:P21" si="9">E17+E15+E19</f>
        <v>0</v>
      </c>
      <c r="F21" s="63">
        <f>F17+F15+F19</f>
        <v>58088.834999999999</v>
      </c>
      <c r="G21" s="63">
        <f t="shared" si="9"/>
        <v>65201.079999999994</v>
      </c>
      <c r="H21" s="63">
        <f t="shared" si="9"/>
        <v>140832.82500000001</v>
      </c>
      <c r="I21" s="63">
        <f t="shared" si="9"/>
        <v>44979.416838346202</v>
      </c>
      <c r="J21" s="63">
        <f t="shared" si="9"/>
        <v>34093.541838346202</v>
      </c>
      <c r="K21" s="63">
        <f t="shared" si="9"/>
        <v>21660.005731156802</v>
      </c>
      <c r="L21" s="63">
        <f t="shared" si="9"/>
        <v>21660.005731156802</v>
      </c>
      <c r="M21" s="63">
        <f t="shared" si="9"/>
        <v>27849.355022281798</v>
      </c>
      <c r="N21" s="63">
        <f t="shared" si="9"/>
        <v>0</v>
      </c>
      <c r="O21" s="63">
        <f t="shared" si="9"/>
        <v>0</v>
      </c>
      <c r="P21" s="63">
        <f t="shared" si="9"/>
        <v>0</v>
      </c>
      <c r="Q21" s="63">
        <f t="shared" ref="Q21" si="10">Q17+Q15+Q19</f>
        <v>264122.74</v>
      </c>
      <c r="R21" s="63">
        <f>SUMIFS($E21:$P21,$E$6:$P$6,R$1)</f>
        <v>150242.32516128779</v>
      </c>
      <c r="S21" s="63">
        <f>R21+Q21</f>
        <v>414365.06516128778</v>
      </c>
      <c r="T21" s="63">
        <f>T17+T15+T19</f>
        <v>-11543.377661287759</v>
      </c>
      <c r="U21" s="1"/>
      <c r="V21" s="1"/>
      <c r="W21" s="1"/>
      <c r="X21" s="1"/>
    </row>
    <row r="22" spans="1:24" ht="12.75" customHeight="1">
      <c r="A22" s="1"/>
      <c r="B22" s="14"/>
      <c r="C22" s="57"/>
      <c r="D22" s="115"/>
      <c r="E22" s="75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1"/>
      <c r="V22" s="1"/>
      <c r="W22" s="1"/>
      <c r="X22" s="1"/>
    </row>
    <row r="23" spans="1:24" ht="17.45" customHeight="1">
      <c r="A23" s="1"/>
      <c r="B23" s="107" t="s">
        <v>37</v>
      </c>
      <c r="C23" s="62"/>
      <c r="D23" s="119"/>
      <c r="E23" s="7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1"/>
      <c r="V23" s="1"/>
      <c r="W23" s="1"/>
      <c r="X23" s="1"/>
    </row>
    <row r="24" spans="1:24" ht="12.75" customHeight="1">
      <c r="A24" s="1"/>
      <c r="B24" s="61" t="s">
        <v>38</v>
      </c>
      <c r="C24" s="64"/>
      <c r="D24" s="120"/>
      <c r="E24" s="74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1"/>
      <c r="V24" s="1"/>
      <c r="W24" s="1"/>
      <c r="X24" s="1"/>
    </row>
    <row r="25" spans="1:24" ht="12.75" customHeight="1">
      <c r="A25" s="1"/>
      <c r="B25" s="66" t="s">
        <v>30</v>
      </c>
      <c r="C25" s="62">
        <f t="shared" ref="C25:C27" si="11">(SUM(E25:F25)/D25)</f>
        <v>0.30438257979712807</v>
      </c>
      <c r="D25" s="121">
        <v>40321</v>
      </c>
      <c r="E25" s="70">
        <v>0</v>
      </c>
      <c r="F25" s="67">
        <v>12273.01</v>
      </c>
      <c r="G25" s="67">
        <v>14057.41</v>
      </c>
      <c r="H25" s="67">
        <v>3326.92</v>
      </c>
      <c r="I25" s="67">
        <v>1191.0732199999998</v>
      </c>
      <c r="J25" s="67">
        <v>2641.7127840000003</v>
      </c>
      <c r="K25" s="67">
        <v>2641.7127840000003</v>
      </c>
      <c r="L25" s="67">
        <v>0</v>
      </c>
      <c r="M25" s="67">
        <v>0</v>
      </c>
      <c r="N25" s="67">
        <v>0</v>
      </c>
      <c r="O25" s="67">
        <v>0</v>
      </c>
      <c r="P25" s="90">
        <v>0</v>
      </c>
      <c r="Q25" s="91">
        <f>SUMIFS($E25:$P25,$E$6:$P$6,Q$1)</f>
        <v>29657.339999999997</v>
      </c>
      <c r="R25" s="91">
        <f>SUMIFS($E25:$P25,$E$6:$P$6,R$1)</f>
        <v>6474.4987880000008</v>
      </c>
      <c r="S25" s="91">
        <f t="shared" ref="S25:S27" si="12">R25+Q25</f>
        <v>36131.838787999994</v>
      </c>
      <c r="T25" s="92">
        <f>D25-S25</f>
        <v>4189.1612120000063</v>
      </c>
      <c r="U25" s="1"/>
      <c r="V25" s="1"/>
      <c r="W25" s="1"/>
      <c r="X25" s="1"/>
    </row>
    <row r="26" spans="1:24" ht="12.75" customHeight="1">
      <c r="A26" s="1"/>
      <c r="B26" s="66" t="s">
        <v>31</v>
      </c>
      <c r="C26" s="62" t="e">
        <f t="shared" si="11"/>
        <v>#DIV/0!</v>
      </c>
      <c r="D26" s="121">
        <v>0</v>
      </c>
      <c r="E26" s="70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0</v>
      </c>
      <c r="N26" s="67">
        <v>0</v>
      </c>
      <c r="O26" s="67">
        <v>0</v>
      </c>
      <c r="P26" s="67">
        <v>0</v>
      </c>
      <c r="Q26" s="91">
        <f>SUMIFS($E26:$P26,$E$6:$P$6,Q$1)</f>
        <v>0</v>
      </c>
      <c r="R26" s="91">
        <f>SUMIFS($E26:$P26,$E$6:$P$6,R$1)</f>
        <v>0</v>
      </c>
      <c r="S26" s="91">
        <f t="shared" si="12"/>
        <v>0</v>
      </c>
      <c r="T26" s="92">
        <f>D26-S26</f>
        <v>0</v>
      </c>
      <c r="U26" s="1"/>
      <c r="V26" s="1"/>
      <c r="W26" s="1"/>
      <c r="X26" s="1"/>
    </row>
    <row r="27" spans="1:24" ht="12.75" customHeight="1">
      <c r="A27" s="1"/>
      <c r="B27" s="66" t="s">
        <v>32</v>
      </c>
      <c r="C27" s="62">
        <f t="shared" si="11"/>
        <v>3.7186407625127852E-3</v>
      </c>
      <c r="D27" s="121">
        <v>2135256</v>
      </c>
      <c r="E27" s="70">
        <v>0</v>
      </c>
      <c r="F27" s="67">
        <v>7940.25</v>
      </c>
      <c r="G27" s="67">
        <v>193074.22</v>
      </c>
      <c r="H27" s="67">
        <v>490987.01</v>
      </c>
      <c r="I27" s="67">
        <v>236129.4</v>
      </c>
      <c r="J27" s="67">
        <v>236233</v>
      </c>
      <c r="K27" s="67">
        <v>280187.08609999996</v>
      </c>
      <c r="L27" s="67">
        <v>217424.37890000001</v>
      </c>
      <c r="M27" s="67">
        <v>472110.8</v>
      </c>
      <c r="N27" s="67">
        <v>0</v>
      </c>
      <c r="O27" s="67">
        <v>0</v>
      </c>
      <c r="P27" s="90">
        <v>0</v>
      </c>
      <c r="Q27" s="91">
        <f>SUMIFS($E27:$P27,$E$6:$P$6,Q$1)</f>
        <v>692001.48</v>
      </c>
      <c r="R27" s="91">
        <f>SUMIFS($E27:$P27,$E$6:$P$6,R$1)</f>
        <v>1442084.665</v>
      </c>
      <c r="S27" s="91">
        <f t="shared" si="12"/>
        <v>2134086.145</v>
      </c>
      <c r="T27" s="92">
        <f>D27-S27</f>
        <v>1169.8549999999814</v>
      </c>
      <c r="U27" s="1"/>
      <c r="V27" s="1"/>
      <c r="W27" s="1"/>
      <c r="X27" s="1"/>
    </row>
    <row r="28" spans="1:24" ht="12.75" customHeight="1">
      <c r="A28" s="1"/>
      <c r="B28" s="61" t="s">
        <v>39</v>
      </c>
      <c r="C28" s="68"/>
      <c r="D28" s="119">
        <f t="shared" ref="D28:P28" si="13">SUM(D25:D27)</f>
        <v>2175577</v>
      </c>
      <c r="E28" s="73">
        <f t="shared" si="13"/>
        <v>0</v>
      </c>
      <c r="F28" s="63">
        <f t="shared" si="13"/>
        <v>20213.260000000002</v>
      </c>
      <c r="G28" s="63">
        <f t="shared" si="13"/>
        <v>207131.63</v>
      </c>
      <c r="H28" s="63">
        <f t="shared" si="13"/>
        <v>494313.93</v>
      </c>
      <c r="I28" s="63">
        <f t="shared" si="13"/>
        <v>237320.47321999999</v>
      </c>
      <c r="J28" s="63">
        <f t="shared" si="13"/>
        <v>238874.712784</v>
      </c>
      <c r="K28" s="63">
        <f t="shared" si="13"/>
        <v>282828.79888399993</v>
      </c>
      <c r="L28" s="63">
        <f t="shared" si="13"/>
        <v>217424.37890000001</v>
      </c>
      <c r="M28" s="63">
        <f t="shared" si="13"/>
        <v>472110.8</v>
      </c>
      <c r="N28" s="63">
        <f t="shared" si="13"/>
        <v>0</v>
      </c>
      <c r="O28" s="63">
        <f t="shared" si="13"/>
        <v>0</v>
      </c>
      <c r="P28" s="63">
        <f t="shared" si="13"/>
        <v>0</v>
      </c>
      <c r="Q28" s="63">
        <f t="shared" ref="Q28:T28" si="14">SUM(Q25:Q27)</f>
        <v>721658.82</v>
      </c>
      <c r="R28" s="63">
        <f>SUM(R25:R27)</f>
        <v>1448559.1637880001</v>
      </c>
      <c r="S28" s="63">
        <f t="shared" si="14"/>
        <v>2170217.983788</v>
      </c>
      <c r="T28" s="63">
        <f t="shared" si="14"/>
        <v>5359.0162119999877</v>
      </c>
      <c r="U28" s="1"/>
      <c r="V28" s="1"/>
      <c r="W28" s="1"/>
      <c r="X28" s="1"/>
    </row>
    <row r="29" spans="1:24" ht="12.75" customHeight="1">
      <c r="A29" s="1"/>
      <c r="B29" s="61"/>
      <c r="C29" s="68"/>
      <c r="D29" s="119"/>
      <c r="E29" s="7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33"/>
      <c r="V29" s="1"/>
      <c r="W29" s="1"/>
      <c r="X29" s="1"/>
    </row>
    <row r="30" spans="1:24" ht="12.75" customHeight="1">
      <c r="A30" s="1"/>
      <c r="B30" s="61" t="s">
        <v>40</v>
      </c>
      <c r="C30" s="62"/>
      <c r="D30" s="119">
        <v>48724</v>
      </c>
      <c r="E30" s="73">
        <v>0</v>
      </c>
      <c r="F30" s="69">
        <v>11469.96</v>
      </c>
      <c r="G30" s="69">
        <v>12562.119999999999</v>
      </c>
      <c r="H30" s="69">
        <v>5898.29</v>
      </c>
      <c r="I30" s="69">
        <v>2502.7762339700002</v>
      </c>
      <c r="J30" s="69">
        <v>3669.9155301840001</v>
      </c>
      <c r="K30" s="69">
        <v>3957.9641526839996</v>
      </c>
      <c r="L30" s="69">
        <v>1424.8685025</v>
      </c>
      <c r="M30" s="69">
        <v>3093.93</v>
      </c>
      <c r="N30" s="69">
        <v>0</v>
      </c>
      <c r="O30" s="69">
        <v>0</v>
      </c>
      <c r="P30" s="93">
        <v>0</v>
      </c>
      <c r="Q30" s="63">
        <f>SUMIFS($E30:$P30,$E$6:$P$6,Q$1)</f>
        <v>29930.37</v>
      </c>
      <c r="R30" s="63">
        <f>SUMIFS($E30:$P30,$E$6:$P$6,R$1)</f>
        <v>14649.454419338001</v>
      </c>
      <c r="S30" s="63">
        <f>R30+Q30</f>
        <v>44579.824419338001</v>
      </c>
      <c r="T30" s="63">
        <f>D30-S30</f>
        <v>4144.1755806619985</v>
      </c>
      <c r="U30" s="1"/>
      <c r="V30" s="1"/>
      <c r="W30" s="1"/>
      <c r="X30" s="1"/>
    </row>
    <row r="31" spans="1:24" ht="12.75" customHeight="1">
      <c r="A31" s="1"/>
      <c r="B31" s="61"/>
      <c r="C31" s="62"/>
      <c r="D31" s="119"/>
      <c r="E31" s="7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1"/>
      <c r="V31" s="1"/>
      <c r="W31" s="1"/>
      <c r="X31" s="1"/>
    </row>
    <row r="32" spans="1:24" ht="12.75" customHeight="1">
      <c r="A32" s="1"/>
      <c r="B32" s="61" t="s">
        <v>41</v>
      </c>
      <c r="C32" s="62"/>
      <c r="D32" s="119">
        <f t="shared" ref="D32" si="15">SUM(D28:D31)*0.05</f>
        <v>111215.05</v>
      </c>
      <c r="E32" s="73">
        <f t="shared" ref="E32:F32" si="16">SUM(E28:E31)*0.05</f>
        <v>0</v>
      </c>
      <c r="F32" s="63">
        <f t="shared" si="16"/>
        <v>1584.1610000000001</v>
      </c>
      <c r="G32" s="63">
        <f t="shared" ref="G32:P32" si="17">SUM(G28:G31)*0.05</f>
        <v>10984.6875</v>
      </c>
      <c r="H32" s="63">
        <f>(H28+H30)*0.05</f>
        <v>25010.611000000001</v>
      </c>
      <c r="I32" s="63">
        <v>11991.162472698488</v>
      </c>
      <c r="J32" s="63">
        <v>12127.231415709179</v>
      </c>
      <c r="K32" s="63">
        <v>14339.338151834192</v>
      </c>
      <c r="L32" s="63">
        <v>23759.355262499965</v>
      </c>
      <c r="M32" s="63">
        <v>23760.236499999981</v>
      </c>
      <c r="N32" s="63">
        <f t="shared" si="17"/>
        <v>0</v>
      </c>
      <c r="O32" s="63">
        <f t="shared" si="17"/>
        <v>0</v>
      </c>
      <c r="P32" s="63">
        <f t="shared" si="17"/>
        <v>0</v>
      </c>
      <c r="Q32" s="92">
        <f>SUMIFS($E32:$P32,$E$6:$P$6,Q$1)</f>
        <v>37579.459499999997</v>
      </c>
      <c r="R32" s="92">
        <f>SUMIFS($E32:$P32,$E$6:$P$6,R$1)</f>
        <v>85977.323802741797</v>
      </c>
      <c r="S32" s="92">
        <f t="shared" ref="S32" si="18">R32+Q32</f>
        <v>123556.78330274179</v>
      </c>
      <c r="T32" s="92">
        <f>D32-S32</f>
        <v>-12341.733302741792</v>
      </c>
      <c r="U32" s="1"/>
      <c r="V32" s="1"/>
      <c r="W32" s="1"/>
      <c r="X32" s="1"/>
    </row>
    <row r="33" spans="1:24" ht="12.75" customHeight="1">
      <c r="A33" s="1"/>
      <c r="B33" s="61"/>
      <c r="C33" s="68"/>
      <c r="D33" s="119"/>
      <c r="E33" s="7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1"/>
      <c r="V33" s="1"/>
      <c r="W33" s="1"/>
      <c r="X33" s="1"/>
    </row>
    <row r="34" spans="1:24" ht="12.75" customHeight="1">
      <c r="A34" s="1"/>
      <c r="B34" s="61" t="s">
        <v>42</v>
      </c>
      <c r="C34" s="62">
        <f>(SUM(E34:F34)/D34)</f>
        <v>1.4244118234974994E-2</v>
      </c>
      <c r="D34" s="119">
        <f>D30+D28+D32+1</f>
        <v>2335517.0499999998</v>
      </c>
      <c r="E34" s="73">
        <f>E30+E28+E32</f>
        <v>0</v>
      </c>
      <c r="F34" s="63">
        <f t="shared" ref="F34:P34" si="19">F30+F28+F32</f>
        <v>33267.381000000001</v>
      </c>
      <c r="G34" s="63">
        <f t="shared" si="19"/>
        <v>230678.4375</v>
      </c>
      <c r="H34" s="63">
        <f t="shared" si="19"/>
        <v>525222.83100000001</v>
      </c>
      <c r="I34" s="63">
        <f t="shared" si="19"/>
        <v>251814.41192666849</v>
      </c>
      <c r="J34" s="63">
        <f t="shared" si="19"/>
        <v>254671.85972989319</v>
      </c>
      <c r="K34" s="63">
        <f t="shared" si="19"/>
        <v>301126.10118851817</v>
      </c>
      <c r="L34" s="63">
        <f t="shared" si="19"/>
        <v>242608.60266499998</v>
      </c>
      <c r="M34" s="63">
        <f t="shared" si="19"/>
        <v>498964.96649999998</v>
      </c>
      <c r="N34" s="63">
        <f t="shared" si="19"/>
        <v>0</v>
      </c>
      <c r="O34" s="63">
        <f t="shared" si="19"/>
        <v>0</v>
      </c>
      <c r="P34" s="63">
        <f t="shared" si="19"/>
        <v>0</v>
      </c>
      <c r="Q34" s="63">
        <f>Q30+Q28+Q32</f>
        <v>789168.64949999994</v>
      </c>
      <c r="R34" s="63">
        <f>R30+R28+R32</f>
        <v>1549185.9420100797</v>
      </c>
      <c r="S34" s="63">
        <f>S30+S28+S32</f>
        <v>2338354.5915100793</v>
      </c>
      <c r="T34" s="63">
        <f>T30+T28+T32</f>
        <v>-2838.5415100798054</v>
      </c>
      <c r="U34" s="1"/>
      <c r="V34" s="1"/>
      <c r="W34" s="1"/>
      <c r="X34" s="1"/>
    </row>
    <row r="35" spans="1:24" ht="12.75" customHeight="1">
      <c r="A35" s="1"/>
      <c r="B35" s="14"/>
      <c r="C35" s="57"/>
      <c r="D35" s="115"/>
      <c r="E35" s="75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1"/>
      <c r="V35" s="1"/>
      <c r="W35" s="1"/>
      <c r="X35" s="1"/>
    </row>
    <row r="36" spans="1:24" ht="12.75" customHeight="1">
      <c r="A36" s="1"/>
      <c r="B36" s="14"/>
      <c r="C36" s="32"/>
      <c r="D36" s="115"/>
      <c r="E36" s="75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1"/>
      <c r="V36" s="1"/>
      <c r="W36" s="1"/>
      <c r="X36" s="1"/>
    </row>
    <row r="37" spans="1:24" ht="22.5" customHeight="1">
      <c r="A37" s="1"/>
      <c r="B37" s="107" t="s">
        <v>43</v>
      </c>
      <c r="C37" s="62"/>
      <c r="D37" s="119"/>
      <c r="E37" s="7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1"/>
      <c r="V37" s="1"/>
      <c r="W37" s="1"/>
      <c r="X37" s="1"/>
    </row>
    <row r="38" spans="1:24" ht="12.75" customHeight="1">
      <c r="A38" s="1"/>
      <c r="B38" s="61" t="s">
        <v>44</v>
      </c>
      <c r="C38" s="64"/>
      <c r="D38" s="120"/>
      <c r="E38" s="74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1"/>
      <c r="V38" s="1"/>
      <c r="W38" s="1"/>
      <c r="X38" s="1"/>
    </row>
    <row r="39" spans="1:24" ht="12.75" customHeight="1">
      <c r="A39" s="1"/>
      <c r="B39" s="66" t="s">
        <v>30</v>
      </c>
      <c r="C39" s="62">
        <f t="shared" ref="C39:C41" si="20">(SUM(E39:F39)/D39)</f>
        <v>2.8015216149304898</v>
      </c>
      <c r="D39" s="121">
        <v>5251</v>
      </c>
      <c r="E39" s="70"/>
      <c r="F39" s="67">
        <v>14710.79</v>
      </c>
      <c r="G39" s="67">
        <v>281.37</v>
      </c>
      <c r="H39" s="67">
        <v>0</v>
      </c>
      <c r="I39" s="67">
        <v>131.12059600000001</v>
      </c>
      <c r="J39" s="67">
        <v>0</v>
      </c>
      <c r="K39" s="67">
        <v>0</v>
      </c>
      <c r="L39" s="67">
        <v>0</v>
      </c>
      <c r="M39" s="67">
        <v>0</v>
      </c>
      <c r="N39" s="67">
        <v>0</v>
      </c>
      <c r="O39" s="67">
        <v>0</v>
      </c>
      <c r="P39" s="90">
        <v>0</v>
      </c>
      <c r="Q39" s="91">
        <f>SUMIFS($E39:$P39,$E$6:$P$6,Q$1)</f>
        <v>14992.160000000002</v>
      </c>
      <c r="R39" s="91">
        <f>SUMIFS($E39:$P39,$E$6:$P$6,R$1)</f>
        <v>131.12059600000001</v>
      </c>
      <c r="S39" s="91">
        <f t="shared" ref="S39:S41" si="21">R39+Q39</f>
        <v>15123.280596000002</v>
      </c>
      <c r="T39" s="92">
        <f>D39-S39</f>
        <v>-9872.2805960000023</v>
      </c>
      <c r="U39" s="1"/>
      <c r="V39" s="1"/>
      <c r="W39" s="1"/>
      <c r="X39" s="1"/>
    </row>
    <row r="40" spans="1:24" ht="12.75" customHeight="1">
      <c r="A40" s="1"/>
      <c r="B40" s="66" t="s">
        <v>31</v>
      </c>
      <c r="C40" s="62" t="e">
        <f t="shared" si="20"/>
        <v>#DIV/0!</v>
      </c>
      <c r="D40" s="121">
        <v>0</v>
      </c>
      <c r="E40" s="70"/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91">
        <f>SUMIFS($E40:$P40,$E$6:$P$6,Q$1)</f>
        <v>0</v>
      </c>
      <c r="R40" s="91">
        <f>SUMIFS($E40:$P40,$E$6:$P$6,R$1)</f>
        <v>0</v>
      </c>
      <c r="S40" s="91">
        <f t="shared" si="21"/>
        <v>0</v>
      </c>
      <c r="T40" s="92">
        <f>D40-S40</f>
        <v>0</v>
      </c>
      <c r="U40" s="1"/>
      <c r="V40" s="1"/>
      <c r="W40" s="1"/>
      <c r="X40" s="1"/>
    </row>
    <row r="41" spans="1:24" ht="12.75" customHeight="1">
      <c r="A41" s="1"/>
      <c r="B41" s="66" t="s">
        <v>32</v>
      </c>
      <c r="C41" s="62">
        <f t="shared" si="20"/>
        <v>1.5628711346647527E-2</v>
      </c>
      <c r="D41" s="121">
        <v>1016309</v>
      </c>
      <c r="E41" s="70"/>
      <c r="F41" s="67">
        <v>15883.6</v>
      </c>
      <c r="G41" s="67">
        <v>102181.51000000001</v>
      </c>
      <c r="H41" s="67">
        <v>244079.29</v>
      </c>
      <c r="I41" s="67">
        <v>110657.20999999999</v>
      </c>
      <c r="J41" s="67">
        <v>110649.81</v>
      </c>
      <c r="K41" s="67">
        <v>118946.4909</v>
      </c>
      <c r="L41" s="67">
        <v>118946.4909</v>
      </c>
      <c r="M41" s="67">
        <v>176588.0925</v>
      </c>
      <c r="N41" s="67">
        <v>6720.75</v>
      </c>
      <c r="O41" s="67">
        <v>0</v>
      </c>
      <c r="P41" s="90">
        <v>0</v>
      </c>
      <c r="Q41" s="91">
        <f>SUMIFS($E41:$P41,$E$6:$P$6,Q$1)</f>
        <v>362144.4</v>
      </c>
      <c r="R41" s="91">
        <f>SUMIFS($E41:$P41,$E$6:$P$6,R$1)</f>
        <v>642508.8443</v>
      </c>
      <c r="S41" s="91">
        <f t="shared" si="21"/>
        <v>1004653.2443</v>
      </c>
      <c r="T41" s="92">
        <f>D41-S41</f>
        <v>11655.75569999998</v>
      </c>
      <c r="U41" s="1"/>
      <c r="V41" s="1"/>
      <c r="W41" s="1"/>
      <c r="X41" s="1"/>
    </row>
    <row r="42" spans="1:24" ht="12.75" customHeight="1">
      <c r="A42" s="1"/>
      <c r="B42" s="61" t="s">
        <v>45</v>
      </c>
      <c r="C42" s="68"/>
      <c r="D42" s="119">
        <f t="shared" ref="D42:F42" si="22">SUM(D39:D41)</f>
        <v>1021560</v>
      </c>
      <c r="E42" s="73">
        <f t="shared" si="22"/>
        <v>0</v>
      </c>
      <c r="F42" s="63">
        <f t="shared" si="22"/>
        <v>30594.39</v>
      </c>
      <c r="G42" s="63">
        <f t="shared" ref="G42:P42" si="23">SUM(G39:G41)</f>
        <v>102462.88</v>
      </c>
      <c r="H42" s="63">
        <f t="shared" si="23"/>
        <v>244079.29</v>
      </c>
      <c r="I42" s="63">
        <f t="shared" si="23"/>
        <v>110788.33059599999</v>
      </c>
      <c r="J42" s="63">
        <f t="shared" si="23"/>
        <v>110649.81</v>
      </c>
      <c r="K42" s="63">
        <f t="shared" si="23"/>
        <v>118946.4909</v>
      </c>
      <c r="L42" s="63">
        <f t="shared" si="23"/>
        <v>118946.4909</v>
      </c>
      <c r="M42" s="63">
        <f t="shared" si="23"/>
        <v>176588.0925</v>
      </c>
      <c r="N42" s="63">
        <f t="shared" si="23"/>
        <v>6720.75</v>
      </c>
      <c r="O42" s="63">
        <f t="shared" si="23"/>
        <v>0</v>
      </c>
      <c r="P42" s="63">
        <f t="shared" si="23"/>
        <v>0</v>
      </c>
      <c r="Q42" s="63">
        <f t="shared" ref="Q42:T42" si="24">SUM(Q39:Q41)</f>
        <v>377136.56</v>
      </c>
      <c r="R42" s="63">
        <f t="shared" si="24"/>
        <v>642639.96489599999</v>
      </c>
      <c r="S42" s="63">
        <f t="shared" si="24"/>
        <v>1019776.524896</v>
      </c>
      <c r="T42" s="63">
        <f t="shared" si="24"/>
        <v>1783.4751039999774</v>
      </c>
      <c r="U42" s="1"/>
      <c r="V42" s="1"/>
      <c r="W42" s="1"/>
      <c r="X42" s="1"/>
    </row>
    <row r="43" spans="1:24" ht="12.75" customHeight="1">
      <c r="A43" s="1"/>
      <c r="B43" s="61"/>
      <c r="C43" s="68"/>
      <c r="D43" s="119"/>
      <c r="E43" s="7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1"/>
      <c r="V43" s="1"/>
      <c r="W43" s="1"/>
      <c r="X43" s="1"/>
    </row>
    <row r="44" spans="1:24" ht="12.75" customHeight="1">
      <c r="A44" s="1"/>
      <c r="B44" s="61" t="s">
        <v>46</v>
      </c>
      <c r="C44" s="62"/>
      <c r="D44" s="119">
        <v>26091</v>
      </c>
      <c r="E44" s="73"/>
      <c r="F44" s="69">
        <v>15173.29</v>
      </c>
      <c r="G44" s="69">
        <v>2322.12</v>
      </c>
      <c r="H44" s="69">
        <v>3024.92</v>
      </c>
      <c r="I44" s="69">
        <v>830.18583994599999</v>
      </c>
      <c r="J44" s="69">
        <v>725.13225</v>
      </c>
      <c r="K44" s="69">
        <v>779.50370250000003</v>
      </c>
      <c r="L44" s="69">
        <v>779.50370250000003</v>
      </c>
      <c r="M44" s="69">
        <v>1157.2520625</v>
      </c>
      <c r="N44" s="69">
        <v>44.043750000000003</v>
      </c>
      <c r="O44" s="69">
        <v>0</v>
      </c>
      <c r="P44" s="93">
        <v>0</v>
      </c>
      <c r="Q44" s="63">
        <f>SUMIFS($E44:$P44,$E$6:$P$6,Q$1)</f>
        <v>20520.330000000002</v>
      </c>
      <c r="R44" s="63">
        <f>SUMIFS($E44:$P44,$E$6:$P$6,R$1)</f>
        <v>4315.6213074460002</v>
      </c>
      <c r="S44" s="63">
        <f>R44+Q44</f>
        <v>24835.951307446001</v>
      </c>
      <c r="T44" s="63">
        <f>D44-S44</f>
        <v>1255.048692553999</v>
      </c>
      <c r="U44" s="1"/>
      <c r="V44" s="1"/>
      <c r="W44" s="1"/>
      <c r="X44" s="1"/>
    </row>
    <row r="45" spans="1:24" ht="12.75" customHeight="1">
      <c r="A45" s="1"/>
      <c r="B45" s="61"/>
      <c r="C45" s="62"/>
      <c r="D45" s="119"/>
      <c r="E45" s="7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1"/>
      <c r="V45" s="1"/>
      <c r="W45" s="1"/>
      <c r="X45" s="1"/>
    </row>
    <row r="46" spans="1:24" ht="12.75" customHeight="1">
      <c r="A46" s="1"/>
      <c r="B46" s="61" t="s">
        <v>47</v>
      </c>
      <c r="C46" s="62"/>
      <c r="D46" s="119">
        <f t="shared" ref="D46" si="25">SUM(D42:D45)*0.05</f>
        <v>52382.55</v>
      </c>
      <c r="E46" s="73">
        <f t="shared" ref="E46:F46" si="26">SUM(E42:E45)*0.05</f>
        <v>0</v>
      </c>
      <c r="F46" s="63">
        <f t="shared" si="26"/>
        <v>2288.384</v>
      </c>
      <c r="G46" s="63">
        <f t="shared" ref="G46:P46" si="27">SUM(G42:G45)*0.05</f>
        <v>5239.25</v>
      </c>
      <c r="H46" s="63">
        <f>(H42+H44)*0.05</f>
        <v>12355.210500000001</v>
      </c>
      <c r="I46" s="63">
        <v>5580.9258217972965</v>
      </c>
      <c r="J46" s="63">
        <v>5568.7471125000011</v>
      </c>
      <c r="K46" s="63">
        <v>5986.2997301249998</v>
      </c>
      <c r="L46" s="63">
        <v>5986.2997301249998</v>
      </c>
      <c r="M46" s="63">
        <v>8887.2672281250125</v>
      </c>
      <c r="N46" s="63">
        <v>338.2396875000004</v>
      </c>
      <c r="O46" s="63">
        <f t="shared" si="27"/>
        <v>0</v>
      </c>
      <c r="P46" s="63">
        <f t="shared" si="27"/>
        <v>0</v>
      </c>
      <c r="Q46" s="92">
        <f>SUMIFS($E46:$P46,$E$6:$P$6,Q$1)</f>
        <v>19882.844499999999</v>
      </c>
      <c r="R46" s="92">
        <f>SUMIFS($E46:$P46,$E$6:$P$6,R$1)</f>
        <v>32347.779310172311</v>
      </c>
      <c r="S46" s="92">
        <f t="shared" ref="S46" si="28">R46+Q46</f>
        <v>52230.623810172314</v>
      </c>
      <c r="T46" s="92">
        <f>D46-S46</f>
        <v>151.92618982768909</v>
      </c>
      <c r="U46" s="1"/>
      <c r="V46" s="1"/>
      <c r="W46" s="1"/>
      <c r="X46" s="1"/>
    </row>
    <row r="47" spans="1:24" ht="12.75" customHeight="1">
      <c r="A47" s="1"/>
      <c r="B47" s="61"/>
      <c r="C47" s="68"/>
      <c r="D47" s="119"/>
      <c r="E47" s="7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1"/>
      <c r="V47" s="1"/>
      <c r="W47" s="1"/>
      <c r="X47" s="1"/>
    </row>
    <row r="48" spans="1:24" ht="12.75" customHeight="1">
      <c r="A48" s="1"/>
      <c r="B48" s="61" t="s">
        <v>48</v>
      </c>
      <c r="C48" s="62">
        <f>(SUM(E48:F48)/D48)</f>
        <v>4.3685998486137079E-2</v>
      </c>
      <c r="D48" s="119">
        <f>D44+D42+D46</f>
        <v>1100033.55</v>
      </c>
      <c r="E48" s="73">
        <f t="shared" ref="E48:P48" si="29">E44+E42+E46</f>
        <v>0</v>
      </c>
      <c r="F48" s="63">
        <f t="shared" si="29"/>
        <v>48056.063999999998</v>
      </c>
      <c r="G48" s="63">
        <f t="shared" si="29"/>
        <v>110024.25</v>
      </c>
      <c r="H48" s="63">
        <f>H44+H42+H46</f>
        <v>259459.42050000001</v>
      </c>
      <c r="I48" s="63">
        <f t="shared" si="29"/>
        <v>117199.44225774329</v>
      </c>
      <c r="J48" s="63">
        <f t="shared" si="29"/>
        <v>116943.68936249999</v>
      </c>
      <c r="K48" s="63">
        <f t="shared" si="29"/>
        <v>125712.29433262501</v>
      </c>
      <c r="L48" s="63">
        <f t="shared" si="29"/>
        <v>125712.29433262501</v>
      </c>
      <c r="M48" s="63">
        <f t="shared" si="29"/>
        <v>186632.611790625</v>
      </c>
      <c r="N48" s="63">
        <f t="shared" si="29"/>
        <v>7103.0334375000002</v>
      </c>
      <c r="O48" s="63">
        <f t="shared" si="29"/>
        <v>0</v>
      </c>
      <c r="P48" s="63">
        <f t="shared" si="29"/>
        <v>0</v>
      </c>
      <c r="Q48" s="63">
        <f t="shared" ref="Q48:S48" si="30">Q44+Q42+Q46</f>
        <v>417539.73450000002</v>
      </c>
      <c r="R48" s="63">
        <f t="shared" si="30"/>
        <v>679303.36551361834</v>
      </c>
      <c r="S48" s="63">
        <f t="shared" si="30"/>
        <v>1096843.1000136184</v>
      </c>
      <c r="T48" s="63">
        <f>T44+T42+T46</f>
        <v>3190.4499863816654</v>
      </c>
      <c r="U48" s="1"/>
      <c r="V48" s="1"/>
      <c r="W48" s="1"/>
      <c r="X48" s="1"/>
    </row>
    <row r="49" spans="1:24" ht="24.95" customHeight="1">
      <c r="A49" s="1"/>
      <c r="B49" s="14"/>
      <c r="C49" s="57"/>
      <c r="D49" s="115"/>
      <c r="E49" s="75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1"/>
      <c r="V49" s="1"/>
      <c r="W49" s="1"/>
      <c r="X49" s="1"/>
    </row>
    <row r="50" spans="1:24" ht="29.25" customHeight="1">
      <c r="A50" s="1"/>
      <c r="B50" s="107" t="s">
        <v>49</v>
      </c>
      <c r="C50" s="62"/>
      <c r="D50" s="119"/>
      <c r="E50" s="7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1"/>
      <c r="V50" s="1"/>
      <c r="W50" s="1"/>
      <c r="X50" s="1"/>
    </row>
    <row r="51" spans="1:24" ht="12.75" customHeight="1">
      <c r="A51" s="1"/>
      <c r="B51" s="61" t="s">
        <v>50</v>
      </c>
      <c r="C51" s="62"/>
      <c r="D51" s="120"/>
      <c r="E51" s="74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1"/>
      <c r="V51" s="1"/>
      <c r="W51" s="1"/>
      <c r="X51" s="1"/>
    </row>
    <row r="52" spans="1:24" ht="12.75" customHeight="1">
      <c r="A52" s="1"/>
      <c r="B52" s="66" t="s">
        <v>30</v>
      </c>
      <c r="C52" s="62">
        <f t="shared" ref="C52:C54" si="31">(SUM(E52:F52)/D52)</f>
        <v>2.4710797943248903</v>
      </c>
      <c r="D52" s="121">
        <v>5251</v>
      </c>
      <c r="E52" s="70"/>
      <c r="F52" s="67">
        <v>12975.64</v>
      </c>
      <c r="G52" s="67">
        <v>9799.86</v>
      </c>
      <c r="H52" s="67">
        <v>0</v>
      </c>
      <c r="I52" s="67">
        <v>0</v>
      </c>
      <c r="J52" s="67">
        <v>0</v>
      </c>
      <c r="K52" s="67">
        <v>0</v>
      </c>
      <c r="L52" s="67">
        <v>0</v>
      </c>
      <c r="M52" s="67">
        <v>0</v>
      </c>
      <c r="N52" s="67">
        <v>0</v>
      </c>
      <c r="O52" s="67">
        <v>0</v>
      </c>
      <c r="P52" s="67">
        <v>0</v>
      </c>
      <c r="Q52" s="91">
        <f>SUMIFS($E52:$P52,$E$6:$P$6,Q$1)</f>
        <v>22775.5</v>
      </c>
      <c r="R52" s="91">
        <f>SUMIFS($E52:$P52,$E$6:$P$6,R$1)</f>
        <v>0</v>
      </c>
      <c r="S52" s="91">
        <f t="shared" ref="S52:S54" si="32">R52+Q52</f>
        <v>22775.5</v>
      </c>
      <c r="T52" s="92">
        <f>D52-S52</f>
        <v>-17524.5</v>
      </c>
      <c r="U52" s="1"/>
      <c r="V52" s="1"/>
      <c r="W52" s="1"/>
      <c r="X52" s="1"/>
    </row>
    <row r="53" spans="1:24" ht="12.75" customHeight="1">
      <c r="A53" s="1"/>
      <c r="B53" s="66" t="s">
        <v>31</v>
      </c>
      <c r="C53" s="62" t="e">
        <f t="shared" si="31"/>
        <v>#DIV/0!</v>
      </c>
      <c r="D53" s="121">
        <v>0</v>
      </c>
      <c r="E53" s="70"/>
      <c r="F53" s="67">
        <v>0</v>
      </c>
      <c r="G53" s="67">
        <v>0</v>
      </c>
      <c r="H53" s="67">
        <v>0</v>
      </c>
      <c r="I53" s="67">
        <v>0</v>
      </c>
      <c r="J53" s="67">
        <v>0</v>
      </c>
      <c r="K53" s="67">
        <v>0</v>
      </c>
      <c r="L53" s="67">
        <v>0</v>
      </c>
      <c r="M53" s="67">
        <v>0</v>
      </c>
      <c r="N53" s="67">
        <v>0</v>
      </c>
      <c r="O53" s="67">
        <v>0</v>
      </c>
      <c r="P53" s="67">
        <v>0</v>
      </c>
      <c r="Q53" s="91">
        <f>SUMIFS($E53:$P53,$E$6:$P$6,Q$1)</f>
        <v>0</v>
      </c>
      <c r="R53" s="91">
        <f>SUMIFS($E53:$P53,$E$6:$P$6,R$1)</f>
        <v>0</v>
      </c>
      <c r="S53" s="91">
        <f t="shared" si="32"/>
        <v>0</v>
      </c>
      <c r="T53" s="92">
        <f>D53-S53</f>
        <v>0</v>
      </c>
      <c r="U53" s="1"/>
      <c r="V53" s="1"/>
      <c r="W53" s="1"/>
      <c r="X53" s="1"/>
    </row>
    <row r="54" spans="1:24" ht="12.75" customHeight="1">
      <c r="A54" s="1"/>
      <c r="B54" s="66" t="s">
        <v>32</v>
      </c>
      <c r="C54" s="62">
        <f t="shared" si="31"/>
        <v>1.5183366749285637E-3</v>
      </c>
      <c r="D54" s="121">
        <v>1583575</v>
      </c>
      <c r="E54" s="70"/>
      <c r="F54" s="67">
        <v>2404.4</v>
      </c>
      <c r="G54" s="67">
        <v>179961</v>
      </c>
      <c r="H54" s="67">
        <v>315548.64</v>
      </c>
      <c r="I54" s="67">
        <v>175919.88</v>
      </c>
      <c r="J54" s="67">
        <v>175919.88</v>
      </c>
      <c r="K54" s="67">
        <v>175919.88</v>
      </c>
      <c r="L54" s="67">
        <v>209723.88260000001</v>
      </c>
      <c r="M54" s="67">
        <v>351839.81150000001</v>
      </c>
      <c r="N54" s="67">
        <v>0</v>
      </c>
      <c r="O54" s="67">
        <v>0</v>
      </c>
      <c r="P54" s="90">
        <v>0</v>
      </c>
      <c r="Q54" s="91">
        <f>SUMIFS($E54:$P54,$E$6:$P$6,Q$1)</f>
        <v>497914.04000000004</v>
      </c>
      <c r="R54" s="91">
        <f>SUMIFS($E54:$P54,$E$6:$P$6,R$1)</f>
        <v>1089323.3341000001</v>
      </c>
      <c r="S54" s="91">
        <f t="shared" si="32"/>
        <v>1587237.3741000001</v>
      </c>
      <c r="T54" s="92">
        <f>D54-S54</f>
        <v>-3662.3741000001319</v>
      </c>
      <c r="U54" s="1"/>
      <c r="V54" s="1"/>
      <c r="W54" s="1"/>
      <c r="X54" s="1"/>
    </row>
    <row r="55" spans="1:24" ht="12.75" customHeight="1">
      <c r="A55" s="1"/>
      <c r="B55" s="61" t="s">
        <v>51</v>
      </c>
      <c r="C55" s="68"/>
      <c r="D55" s="119">
        <f>SUM(D52:D54)</f>
        <v>1588826</v>
      </c>
      <c r="E55" s="73">
        <f t="shared" ref="E55:P55" si="33">SUM(E52:E54)</f>
        <v>0</v>
      </c>
      <c r="F55" s="63">
        <f t="shared" si="33"/>
        <v>15380.039999999999</v>
      </c>
      <c r="G55" s="63">
        <f t="shared" si="33"/>
        <v>189760.86</v>
      </c>
      <c r="H55" s="63">
        <f t="shared" si="33"/>
        <v>315548.64</v>
      </c>
      <c r="I55" s="63">
        <f t="shared" si="33"/>
        <v>175919.88</v>
      </c>
      <c r="J55" s="63">
        <f t="shared" si="33"/>
        <v>175919.88</v>
      </c>
      <c r="K55" s="63">
        <f t="shared" si="33"/>
        <v>175919.88</v>
      </c>
      <c r="L55" s="63">
        <f t="shared" si="33"/>
        <v>209723.88260000001</v>
      </c>
      <c r="M55" s="63">
        <f t="shared" si="33"/>
        <v>351839.81150000001</v>
      </c>
      <c r="N55" s="63">
        <f t="shared" si="33"/>
        <v>0</v>
      </c>
      <c r="O55" s="63">
        <f t="shared" si="33"/>
        <v>0</v>
      </c>
      <c r="P55" s="63">
        <f t="shared" si="33"/>
        <v>0</v>
      </c>
      <c r="Q55" s="63">
        <f t="shared" ref="Q55:T55" si="34">SUM(Q52:Q54)</f>
        <v>520689.54000000004</v>
      </c>
      <c r="R55" s="63">
        <f t="shared" si="34"/>
        <v>1089323.3341000001</v>
      </c>
      <c r="S55" s="63">
        <f t="shared" si="34"/>
        <v>1610012.8741000001</v>
      </c>
      <c r="T55" s="63">
        <f t="shared" si="34"/>
        <v>-21186.874100000132</v>
      </c>
      <c r="U55" s="1"/>
      <c r="V55" s="1"/>
      <c r="W55" s="1"/>
      <c r="X55" s="1"/>
    </row>
    <row r="56" spans="1:24" ht="12.75" customHeight="1">
      <c r="A56" s="1"/>
      <c r="B56" s="61"/>
      <c r="C56" s="68"/>
      <c r="D56" s="119"/>
      <c r="E56" s="7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1"/>
      <c r="V56" s="1"/>
      <c r="W56" s="1"/>
      <c r="X56" s="1"/>
    </row>
    <row r="57" spans="1:24" ht="12.75" customHeight="1">
      <c r="A57" s="1"/>
      <c r="B57" s="61" t="s">
        <v>52</v>
      </c>
      <c r="C57" s="62"/>
      <c r="D57" s="119">
        <v>13736</v>
      </c>
      <c r="E57" s="73"/>
      <c r="F57" s="69">
        <v>10772.27</v>
      </c>
      <c r="G57" s="69">
        <v>9246</v>
      </c>
      <c r="H57" s="69">
        <v>2067.92</v>
      </c>
      <c r="I57" s="69">
        <v>1152.873</v>
      </c>
      <c r="J57" s="69">
        <v>1152.873</v>
      </c>
      <c r="K57" s="69">
        <v>1152.873</v>
      </c>
      <c r="L57" s="69">
        <v>1374.4040849999999</v>
      </c>
      <c r="M57" s="69">
        <v>2305.7463374999998</v>
      </c>
      <c r="N57" s="69">
        <v>0</v>
      </c>
      <c r="O57" s="69">
        <v>0</v>
      </c>
      <c r="P57" s="93">
        <v>0</v>
      </c>
      <c r="Q57" s="63">
        <f>SUMIFS($E57:$P57,$E$6:$P$6,Q$1)</f>
        <v>22086.190000000002</v>
      </c>
      <c r="R57" s="63">
        <f>SUMIFS($E57:$P57,$E$6:$P$6,R$1)</f>
        <v>7138.7694224999996</v>
      </c>
      <c r="S57" s="63">
        <f>R57+Q57</f>
        <v>29224.959422500004</v>
      </c>
      <c r="T57" s="63">
        <f>D57-S57</f>
        <v>-15488.959422500004</v>
      </c>
      <c r="U57" s="1"/>
      <c r="V57" s="1"/>
      <c r="W57" s="1"/>
      <c r="X57" s="1"/>
    </row>
    <row r="58" spans="1:24" ht="12.75" customHeight="1">
      <c r="A58" s="1"/>
      <c r="B58" s="61"/>
      <c r="C58" s="62"/>
      <c r="D58" s="119"/>
      <c r="E58" s="7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1"/>
      <c r="V58" s="1"/>
      <c r="W58" s="1"/>
      <c r="X58" s="1"/>
    </row>
    <row r="59" spans="1:24" ht="12.75" customHeight="1">
      <c r="A59" s="1"/>
      <c r="B59" s="61" t="s">
        <v>53</v>
      </c>
      <c r="C59" s="62"/>
      <c r="D59" s="119">
        <f t="shared" ref="D59" si="35">SUM(D55:D58)*0.05</f>
        <v>80128.100000000006</v>
      </c>
      <c r="E59" s="73">
        <f t="shared" ref="E59:F59" si="36">SUM(E55:E58)*0.05</f>
        <v>0</v>
      </c>
      <c r="F59" s="63">
        <f t="shared" si="36"/>
        <v>1307.6154999999999</v>
      </c>
      <c r="G59" s="63">
        <f t="shared" ref="G59:P59" si="37">SUM(G55:G58)*0.05</f>
        <v>9950.3430000000008</v>
      </c>
      <c r="H59" s="63">
        <f>(H55+H57)*0.05</f>
        <v>15880.828000000001</v>
      </c>
      <c r="I59" s="63">
        <v>8853.6376500000188</v>
      </c>
      <c r="J59" s="63">
        <v>8853.6376500000188</v>
      </c>
      <c r="K59" s="63">
        <v>8853.6376500000188</v>
      </c>
      <c r="L59" s="63">
        <v>10554.914334250003</v>
      </c>
      <c r="M59" s="63">
        <v>17707.277891875012</v>
      </c>
      <c r="N59" s="63">
        <f t="shared" si="37"/>
        <v>0</v>
      </c>
      <c r="O59" s="63">
        <f t="shared" si="37"/>
        <v>0</v>
      </c>
      <c r="P59" s="63">
        <f t="shared" si="37"/>
        <v>0</v>
      </c>
      <c r="Q59" s="92">
        <f>SUMIFS($E59:$P59,$E$6:$P$6,Q$1)</f>
        <v>27138.786500000002</v>
      </c>
      <c r="R59" s="92">
        <f>SUMIFS($E59:$P59,$E$6:$P$6,R$1)</f>
        <v>54823.105176125071</v>
      </c>
      <c r="S59" s="92">
        <f t="shared" ref="S59" si="38">R59+Q59</f>
        <v>81961.891676125073</v>
      </c>
      <c r="T59" s="92">
        <f>D59-S59</f>
        <v>-1833.7916761250672</v>
      </c>
      <c r="U59" s="1"/>
      <c r="V59" s="1"/>
      <c r="W59" s="1"/>
      <c r="X59" s="1"/>
    </row>
    <row r="60" spans="1:24" ht="12.75" customHeight="1">
      <c r="A60" s="1"/>
      <c r="B60" s="61"/>
      <c r="C60" s="68"/>
      <c r="D60" s="119"/>
      <c r="E60" s="7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1"/>
      <c r="V60" s="1"/>
      <c r="W60" s="1"/>
      <c r="X60" s="1"/>
    </row>
    <row r="61" spans="1:24" ht="12.75" customHeight="1">
      <c r="A61" s="1"/>
      <c r="B61" s="61" t="s">
        <v>54</v>
      </c>
      <c r="C61" s="62">
        <f>(SUM(E61:F61)/D61)</f>
        <v>1.6319062850610459E-2</v>
      </c>
      <c r="D61" s="119">
        <f>D57+D55+D59</f>
        <v>1682690.1</v>
      </c>
      <c r="E61" s="73">
        <f t="shared" ref="E61:P61" si="39">E57+E55+E59</f>
        <v>0</v>
      </c>
      <c r="F61" s="63">
        <f>F57+F55+F59</f>
        <v>27459.925499999998</v>
      </c>
      <c r="G61" s="63">
        <f t="shared" si="39"/>
        <v>208957.20299999998</v>
      </c>
      <c r="H61" s="63">
        <f t="shared" si="39"/>
        <v>333497.38799999998</v>
      </c>
      <c r="I61" s="63">
        <f t="shared" si="39"/>
        <v>185926.39065000002</v>
      </c>
      <c r="J61" s="63">
        <f t="shared" si="39"/>
        <v>185926.39065000002</v>
      </c>
      <c r="K61" s="63">
        <f t="shared" si="39"/>
        <v>185926.39065000002</v>
      </c>
      <c r="L61" s="63">
        <f t="shared" si="39"/>
        <v>221653.20101925</v>
      </c>
      <c r="M61" s="63">
        <f t="shared" si="39"/>
        <v>371852.83572937502</v>
      </c>
      <c r="N61" s="63">
        <f t="shared" si="39"/>
        <v>0</v>
      </c>
      <c r="O61" s="63">
        <f t="shared" si="39"/>
        <v>0</v>
      </c>
      <c r="P61" s="63">
        <f t="shared" si="39"/>
        <v>0</v>
      </c>
      <c r="Q61" s="63">
        <f t="shared" ref="Q61:S61" si="40">Q57+Q55+Q59</f>
        <v>569914.51650000003</v>
      </c>
      <c r="R61" s="63">
        <f t="shared" si="40"/>
        <v>1151285.2086986252</v>
      </c>
      <c r="S61" s="63">
        <f t="shared" si="40"/>
        <v>1721199.7251986254</v>
      </c>
      <c r="T61" s="63">
        <f>T57+T55+T59</f>
        <v>-38509.625198625203</v>
      </c>
      <c r="U61" s="1"/>
      <c r="V61" s="1"/>
      <c r="W61" s="1"/>
      <c r="X61" s="1"/>
    </row>
    <row r="62" spans="1:24" ht="12.75" customHeight="1">
      <c r="A62" s="1"/>
      <c r="B62" s="14"/>
      <c r="C62" s="57"/>
      <c r="D62" s="115"/>
      <c r="E62" s="75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1"/>
      <c r="V62" s="1"/>
      <c r="W62" s="1"/>
      <c r="X62" s="1"/>
    </row>
    <row r="63" spans="1:24" ht="12.75" customHeight="1">
      <c r="A63" s="1"/>
      <c r="B63" s="14"/>
      <c r="C63" s="32"/>
      <c r="D63" s="115"/>
      <c r="E63" s="75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1"/>
      <c r="V63" s="1"/>
      <c r="W63" s="1"/>
      <c r="X63" s="1"/>
    </row>
    <row r="64" spans="1:24" ht="12.75" customHeight="1">
      <c r="A64" s="1"/>
      <c r="B64" s="113" t="s">
        <v>55</v>
      </c>
      <c r="C64" s="62"/>
      <c r="D64" s="119"/>
      <c r="E64" s="7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1"/>
      <c r="V64" s="1"/>
      <c r="W64" s="1"/>
      <c r="X64" s="1"/>
    </row>
    <row r="65" spans="1:24" ht="12.75" customHeight="1">
      <c r="A65" s="1"/>
      <c r="B65" s="61" t="s">
        <v>56</v>
      </c>
      <c r="C65" s="64"/>
      <c r="D65" s="120"/>
      <c r="E65" s="74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1"/>
      <c r="V65" s="1"/>
      <c r="W65" s="1"/>
      <c r="X65" s="1"/>
    </row>
    <row r="66" spans="1:24" ht="12.75" customHeight="1">
      <c r="A66" s="1"/>
      <c r="B66" s="66" t="s">
        <v>30</v>
      </c>
      <c r="C66" s="62">
        <f>(SUM(E66:F66)/D66)</f>
        <v>0.19837622459008272</v>
      </c>
      <c r="D66" s="121">
        <v>209328.21</v>
      </c>
      <c r="E66" s="70"/>
      <c r="F66" s="67">
        <v>41525.74</v>
      </c>
      <c r="G66" s="67">
        <v>28522.26</v>
      </c>
      <c r="H66" s="67">
        <v>23388.639999999999</v>
      </c>
      <c r="I66" s="67">
        <v>33703.108044000001</v>
      </c>
      <c r="J66" s="67">
        <v>29568.492740000002</v>
      </c>
      <c r="K66" s="67">
        <v>25553.053</v>
      </c>
      <c r="L66" s="67">
        <v>17413.152604000003</v>
      </c>
      <c r="M66" s="67">
        <v>3839.8760199999997</v>
      </c>
      <c r="N66" s="67">
        <v>1048.964768</v>
      </c>
      <c r="O66" s="67">
        <v>0</v>
      </c>
      <c r="P66" s="90">
        <v>0</v>
      </c>
      <c r="Q66" s="91">
        <f>SUMIFS($E66:$P66,$E$6:$P$6,Q$1)</f>
        <v>93436.64</v>
      </c>
      <c r="R66" s="91">
        <f>SUMIFS($E66:$P66,$E$6:$P$6,R$1)</f>
        <v>111126.647176</v>
      </c>
      <c r="S66" s="91">
        <f t="shared" ref="S66:S68" si="41">R66+Q66</f>
        <v>204563.28717600001</v>
      </c>
      <c r="T66" s="92">
        <f>D66-S66</f>
        <v>4764.9228239999793</v>
      </c>
      <c r="U66" s="1"/>
      <c r="V66" s="1"/>
      <c r="W66" s="1"/>
      <c r="X66" s="1"/>
    </row>
    <row r="67" spans="1:24" ht="12.75" customHeight="1">
      <c r="A67" s="1"/>
      <c r="B67" s="66" t="s">
        <v>31</v>
      </c>
      <c r="C67" s="62" t="e">
        <f>(SUM(E67:F67)/D67)</f>
        <v>#DIV/0!</v>
      </c>
      <c r="D67" s="121">
        <v>0</v>
      </c>
      <c r="E67" s="70"/>
      <c r="F67" s="67">
        <v>0</v>
      </c>
      <c r="G67" s="67">
        <v>0</v>
      </c>
      <c r="H67" s="67">
        <v>0</v>
      </c>
      <c r="I67" s="67">
        <v>0</v>
      </c>
      <c r="J67" s="67">
        <v>0</v>
      </c>
      <c r="K67" s="67">
        <v>0</v>
      </c>
      <c r="L67" s="67">
        <v>0</v>
      </c>
      <c r="M67" s="67">
        <v>0</v>
      </c>
      <c r="N67" s="67">
        <v>0</v>
      </c>
      <c r="O67" s="67">
        <v>0</v>
      </c>
      <c r="P67" s="67">
        <v>0</v>
      </c>
      <c r="Q67" s="91">
        <f>SUMIFS($E67:$P67,$E$6:$P$6,Q$1)</f>
        <v>0</v>
      </c>
      <c r="R67" s="91">
        <f>SUMIFS($E67:$P67,$E$6:$P$6,R$1)</f>
        <v>0</v>
      </c>
      <c r="S67" s="91">
        <f t="shared" si="41"/>
        <v>0</v>
      </c>
      <c r="T67" s="92">
        <f>D67-S67</f>
        <v>0</v>
      </c>
      <c r="U67" s="1"/>
      <c r="V67" s="1"/>
      <c r="W67" s="1"/>
      <c r="X67" s="1"/>
    </row>
    <row r="68" spans="1:24" ht="12.75" customHeight="1">
      <c r="A68" s="1"/>
      <c r="B68" s="66" t="s">
        <v>32</v>
      </c>
      <c r="C68" s="62">
        <f>(SUM(E68:F68)/D68)</f>
        <v>1.4514626364601969E-2</v>
      </c>
      <c r="D68" s="121">
        <v>498039</v>
      </c>
      <c r="E68" s="70"/>
      <c r="F68" s="67">
        <v>7228.85</v>
      </c>
      <c r="G68" s="67">
        <v>32835.149999999994</v>
      </c>
      <c r="H68" s="67">
        <v>165838.92000000001</v>
      </c>
      <c r="I68" s="67">
        <v>56230.170000000006</v>
      </c>
      <c r="J68" s="67">
        <v>55845.37</v>
      </c>
      <c r="K68" s="67">
        <v>78898.691999999995</v>
      </c>
      <c r="L68" s="67">
        <v>54216.961500000005</v>
      </c>
      <c r="M68" s="67">
        <v>53284.561500000003</v>
      </c>
      <c r="N68" s="67">
        <v>59.2</v>
      </c>
      <c r="O68" s="67">
        <v>0</v>
      </c>
      <c r="P68" s="90">
        <v>0</v>
      </c>
      <c r="Q68" s="91">
        <f>SUMIFS($E68:$P68,$E$6:$P$6,Q$1)</f>
        <v>205902.92</v>
      </c>
      <c r="R68" s="91">
        <f>SUMIFS($E68:$P68,$E$6:$P$6,R$1)</f>
        <v>298534.95500000002</v>
      </c>
      <c r="S68" s="91">
        <f t="shared" si="41"/>
        <v>504437.875</v>
      </c>
      <c r="T68" s="92">
        <f>D68-S68</f>
        <v>-6398.875</v>
      </c>
      <c r="U68" s="1"/>
      <c r="V68" s="1"/>
      <c r="W68" s="1"/>
      <c r="X68" s="1"/>
    </row>
    <row r="69" spans="1:24" ht="12.75" customHeight="1">
      <c r="A69" s="1"/>
      <c r="B69" s="61" t="s">
        <v>57</v>
      </c>
      <c r="C69" s="68"/>
      <c r="D69" s="119">
        <f>SUM(D66:D68)</f>
        <v>707367.21</v>
      </c>
      <c r="E69" s="73">
        <f t="shared" ref="E69:P69" si="42">SUM(E66:E68)</f>
        <v>0</v>
      </c>
      <c r="F69" s="63">
        <f t="shared" si="42"/>
        <v>48754.59</v>
      </c>
      <c r="G69" s="63">
        <f t="shared" si="42"/>
        <v>61357.409999999989</v>
      </c>
      <c r="H69" s="63">
        <f t="shared" si="42"/>
        <v>189227.56</v>
      </c>
      <c r="I69" s="63">
        <f t="shared" si="42"/>
        <v>89933.278044000006</v>
      </c>
      <c r="J69" s="63">
        <f t="shared" si="42"/>
        <v>85413.862740000011</v>
      </c>
      <c r="K69" s="63">
        <f t="shared" si="42"/>
        <v>104451.745</v>
      </c>
      <c r="L69" s="63">
        <f t="shared" si="42"/>
        <v>71630.114104000008</v>
      </c>
      <c r="M69" s="63">
        <f t="shared" si="42"/>
        <v>57124.437520000007</v>
      </c>
      <c r="N69" s="63">
        <f t="shared" si="42"/>
        <v>1108.1647680000001</v>
      </c>
      <c r="O69" s="63">
        <f t="shared" si="42"/>
        <v>0</v>
      </c>
      <c r="P69" s="63">
        <f t="shared" si="42"/>
        <v>0</v>
      </c>
      <c r="Q69" s="63">
        <f t="shared" ref="Q69:T69" si="43">SUM(Q66:Q68)</f>
        <v>299339.56</v>
      </c>
      <c r="R69" s="63">
        <f t="shared" si="43"/>
        <v>409661.60217600001</v>
      </c>
      <c r="S69" s="63">
        <f t="shared" si="43"/>
        <v>709001.16217599995</v>
      </c>
      <c r="T69" s="63">
        <f t="shared" si="43"/>
        <v>-1633.9521760000207</v>
      </c>
      <c r="U69" s="1"/>
      <c r="V69" s="1"/>
      <c r="W69" s="1"/>
      <c r="X69" s="1"/>
    </row>
    <row r="70" spans="1:24" ht="12.75" customHeight="1">
      <c r="A70" s="1"/>
      <c r="B70" s="61"/>
      <c r="C70" s="68"/>
      <c r="D70" s="119"/>
      <c r="E70" s="7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1"/>
      <c r="V70" s="1"/>
      <c r="W70" s="1"/>
      <c r="X70" s="1"/>
    </row>
    <row r="71" spans="1:24" ht="12.75" customHeight="1">
      <c r="A71" s="1"/>
      <c r="B71" s="61" t="s">
        <v>58</v>
      </c>
      <c r="C71" s="62"/>
      <c r="D71" s="119">
        <v>183014.92</v>
      </c>
      <c r="E71" s="73"/>
      <c r="F71" s="69">
        <v>33887.760000000002</v>
      </c>
      <c r="G71" s="69">
        <v>22376.269999999997</v>
      </c>
      <c r="H71" s="69">
        <v>19436.12</v>
      </c>
      <c r="I71" s="69">
        <v>27463.913942694002</v>
      </c>
      <c r="J71" s="69">
        <v>24117.189775490006</v>
      </c>
      <c r="K71" s="69">
        <v>21053.597990499999</v>
      </c>
      <c r="L71" s="69">
        <v>14337.750915754001</v>
      </c>
      <c r="M71" s="69">
        <v>3425.4323292700001</v>
      </c>
      <c r="N71" s="69">
        <v>840.42871956800002</v>
      </c>
      <c r="O71" s="69">
        <v>0</v>
      </c>
      <c r="P71" s="93">
        <v>0</v>
      </c>
      <c r="Q71" s="63">
        <f>SUMIFS($E71:$P71,$E$6:$P$6,Q$1)</f>
        <v>75700.149999999994</v>
      </c>
      <c r="R71" s="63">
        <f>SUMIFS($E71:$P71,$E$6:$P$6,R$1)</f>
        <v>91238.313673276003</v>
      </c>
      <c r="S71" s="63">
        <f>R71+Q71</f>
        <v>166938.46367327601</v>
      </c>
      <c r="T71" s="63">
        <f>D71-S71</f>
        <v>16076.456326724001</v>
      </c>
      <c r="U71" s="1"/>
      <c r="V71" s="1"/>
      <c r="W71" s="1"/>
      <c r="X71" s="1"/>
    </row>
    <row r="72" spans="1:24" ht="12.75" customHeight="1">
      <c r="A72" s="1"/>
      <c r="B72" s="61"/>
      <c r="C72" s="62"/>
      <c r="D72" s="119"/>
      <c r="E72" s="7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1"/>
      <c r="V72" s="1"/>
      <c r="W72" s="1"/>
      <c r="X72" s="1"/>
    </row>
    <row r="73" spans="1:24" ht="12.75" customHeight="1">
      <c r="A73" s="1"/>
      <c r="B73" s="61" t="s">
        <v>59</v>
      </c>
      <c r="C73" s="62"/>
      <c r="D73" s="119">
        <f t="shared" ref="D73:F73" si="44">SUM(D69:D72)*0.05</f>
        <v>44519.106500000002</v>
      </c>
      <c r="E73" s="73">
        <f t="shared" si="44"/>
        <v>0</v>
      </c>
      <c r="F73" s="63">
        <f t="shared" si="44"/>
        <v>4132.1175000000003</v>
      </c>
      <c r="G73" s="63">
        <v>3666.1000000000031</v>
      </c>
      <c r="H73" s="63">
        <f>(H69+H71)*0.05</f>
        <v>10433.184000000001</v>
      </c>
      <c r="I73" s="63">
        <v>5869.8595993347117</v>
      </c>
      <c r="J73" s="63">
        <v>5476.5526257745223</v>
      </c>
      <c r="K73" s="63">
        <v>6275.2671495250106</v>
      </c>
      <c r="L73" s="63">
        <v>4298.393250987705</v>
      </c>
      <c r="M73" s="63">
        <v>3027.493492463509</v>
      </c>
      <c r="N73" s="63">
        <v>97.429674378399795</v>
      </c>
      <c r="O73" s="63">
        <f t="shared" ref="O73:P73" si="45">SUM(O69:O72)*0.05</f>
        <v>0</v>
      </c>
      <c r="P73" s="63">
        <f t="shared" si="45"/>
        <v>0</v>
      </c>
      <c r="Q73" s="92">
        <f>SUMIFS($E73:$P73,$E$6:$P$6,Q$1)</f>
        <v>18231.401500000004</v>
      </c>
      <c r="R73" s="92">
        <f>SUMIFS($E73:$P73,$E$6:$P$6,R$1)</f>
        <v>25044.995792463858</v>
      </c>
      <c r="S73" s="92">
        <f t="shared" ref="S73" si="46">R73+Q73</f>
        <v>43276.397292463866</v>
      </c>
      <c r="T73" s="92">
        <f>D73-S73</f>
        <v>1242.7092075361361</v>
      </c>
      <c r="U73" s="1"/>
      <c r="V73" s="1"/>
      <c r="W73" s="1"/>
      <c r="X73" s="1"/>
    </row>
    <row r="74" spans="1:24" ht="12.75" customHeight="1">
      <c r="A74" s="1"/>
      <c r="B74" s="61"/>
      <c r="C74" s="68"/>
      <c r="D74" s="119"/>
      <c r="E74" s="7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1"/>
      <c r="V74" s="1"/>
      <c r="W74" s="1"/>
      <c r="X74" s="1"/>
    </row>
    <row r="75" spans="1:24" ht="12.75" customHeight="1">
      <c r="A75" s="1"/>
      <c r="B75" s="61" t="s">
        <v>60</v>
      </c>
      <c r="C75" s="62">
        <f>(SUM(E75:F75)/D75)</f>
        <v>9.2816721287971041E-2</v>
      </c>
      <c r="D75" s="119">
        <f>D71+D69+D73</f>
        <v>934901.2365</v>
      </c>
      <c r="E75" s="73">
        <f t="shared" ref="E75:S75" si="47">E71+E69+E73</f>
        <v>0</v>
      </c>
      <c r="F75" s="63">
        <f t="shared" si="47"/>
        <v>86774.467499999999</v>
      </c>
      <c r="G75" s="63">
        <f t="shared" si="47"/>
        <v>87399.78</v>
      </c>
      <c r="H75" s="63">
        <f t="shared" si="47"/>
        <v>219096.864</v>
      </c>
      <c r="I75" s="63">
        <f t="shared" si="47"/>
        <v>123267.05158602871</v>
      </c>
      <c r="J75" s="63">
        <f t="shared" si="47"/>
        <v>115007.60514126453</v>
      </c>
      <c r="K75" s="63">
        <f t="shared" si="47"/>
        <v>131780.610140025</v>
      </c>
      <c r="L75" s="63">
        <f t="shared" si="47"/>
        <v>90266.258270741717</v>
      </c>
      <c r="M75" s="63">
        <f t="shared" si="47"/>
        <v>63577.363341733515</v>
      </c>
      <c r="N75" s="63">
        <f t="shared" si="47"/>
        <v>2046.0231619463998</v>
      </c>
      <c r="O75" s="63">
        <f t="shared" si="47"/>
        <v>0</v>
      </c>
      <c r="P75" s="63">
        <f>P71+P69+P73</f>
        <v>0</v>
      </c>
      <c r="Q75" s="63">
        <f t="shared" si="47"/>
        <v>393271.11149999994</v>
      </c>
      <c r="R75" s="63">
        <f t="shared" si="47"/>
        <v>525944.91164173989</v>
      </c>
      <c r="S75" s="63">
        <f t="shared" si="47"/>
        <v>919216.02314173989</v>
      </c>
      <c r="T75" s="63">
        <f>T71+T69+T73</f>
        <v>15685.213358260116</v>
      </c>
      <c r="U75" s="1"/>
      <c r="V75" s="1"/>
      <c r="W75" s="18"/>
      <c r="X75" s="58"/>
    </row>
    <row r="76" spans="1:24" ht="23.1" customHeight="1">
      <c r="A76" s="1"/>
      <c r="B76" s="14"/>
      <c r="C76" s="32"/>
      <c r="D76" s="115"/>
      <c r="E76" s="75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1"/>
      <c r="V76" s="1"/>
      <c r="W76" s="1"/>
      <c r="X76" s="1"/>
    </row>
    <row r="77" spans="1:24" ht="12.75" customHeight="1">
      <c r="A77" s="1"/>
      <c r="B77" s="107" t="s">
        <v>61</v>
      </c>
      <c r="C77" s="62"/>
      <c r="D77" s="119"/>
      <c r="E77" s="7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1"/>
      <c r="V77" s="1"/>
      <c r="W77" s="1"/>
      <c r="X77" s="1"/>
    </row>
    <row r="78" spans="1:24" ht="12.75" customHeight="1">
      <c r="A78" s="1"/>
      <c r="B78" s="61" t="s">
        <v>62</v>
      </c>
      <c r="C78" s="64"/>
      <c r="D78" s="120"/>
      <c r="E78" s="74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1"/>
      <c r="V78" s="1"/>
      <c r="W78" s="1"/>
      <c r="X78" s="1"/>
    </row>
    <row r="79" spans="1:24" ht="12.75" customHeight="1">
      <c r="A79" s="1"/>
      <c r="B79" s="66" t="s">
        <v>30</v>
      </c>
      <c r="C79" s="62">
        <f t="shared" ref="C79:C81" si="48">(SUM(E79:F79)/D79)</f>
        <v>0.33455748314763895</v>
      </c>
      <c r="D79" s="121">
        <v>311149.28000000003</v>
      </c>
      <c r="E79" s="70"/>
      <c r="F79" s="67">
        <v>104097.32</v>
      </c>
      <c r="G79" s="67">
        <v>37077</v>
      </c>
      <c r="H79" s="67">
        <v>35894.480000000003</v>
      </c>
      <c r="I79" s="67">
        <v>37386.297154</v>
      </c>
      <c r="J79" s="67">
        <v>30943.990113999997</v>
      </c>
      <c r="K79" s="67">
        <v>26038.020732999998</v>
      </c>
      <c r="L79" s="67">
        <v>14258.140184</v>
      </c>
      <c r="M79" s="67">
        <v>14258.140184</v>
      </c>
      <c r="N79" s="67">
        <v>10164.406903999999</v>
      </c>
      <c r="O79" s="67">
        <v>5850.8896839999998</v>
      </c>
      <c r="P79" s="90">
        <v>2819.376808</v>
      </c>
      <c r="Q79" s="91">
        <f>SUMIFS($E79:$P79,$E$6:$P$6,Q$1)</f>
        <v>177068.80000000002</v>
      </c>
      <c r="R79" s="91">
        <f>SUMIFS($E79:$P79,$E$6:$P$6,R$1)</f>
        <v>141719.261765</v>
      </c>
      <c r="S79" s="91">
        <f>R79+Q79</f>
        <v>318788.06176499999</v>
      </c>
      <c r="T79" s="92">
        <f>D79-S79</f>
        <v>-7638.7817649999633</v>
      </c>
      <c r="U79" s="1"/>
      <c r="V79" s="1"/>
      <c r="W79" s="1"/>
      <c r="X79" s="1"/>
    </row>
    <row r="80" spans="1:24" ht="12.75" customHeight="1">
      <c r="A80" s="1"/>
      <c r="B80" s="66" t="s">
        <v>31</v>
      </c>
      <c r="C80" s="62" t="e">
        <f t="shared" si="48"/>
        <v>#DIV/0!</v>
      </c>
      <c r="D80" s="121"/>
      <c r="E80" s="70"/>
      <c r="F80" s="67">
        <v>0</v>
      </c>
      <c r="G80" s="67">
        <v>0</v>
      </c>
      <c r="H80" s="67">
        <v>0</v>
      </c>
      <c r="I80" s="67">
        <v>0</v>
      </c>
      <c r="J80" s="67">
        <v>0</v>
      </c>
      <c r="K80" s="67">
        <v>0</v>
      </c>
      <c r="L80" s="67">
        <v>0</v>
      </c>
      <c r="M80" s="67">
        <v>0</v>
      </c>
      <c r="N80" s="67">
        <v>0</v>
      </c>
      <c r="O80" s="67">
        <v>0</v>
      </c>
      <c r="P80" s="67">
        <v>0</v>
      </c>
      <c r="Q80" s="91">
        <f>SUMIFS($E80:$P80,$E$6:$P$6,Q$1)</f>
        <v>0</v>
      </c>
      <c r="R80" s="91">
        <f>SUMIFS($E80:$P80,$E$6:$P$6,R$1)</f>
        <v>0</v>
      </c>
      <c r="S80" s="91">
        <f t="shared" ref="S80:S81" si="49">R80+Q80</f>
        <v>0</v>
      </c>
      <c r="T80" s="92">
        <f>D80-S80</f>
        <v>0</v>
      </c>
      <c r="U80" s="1"/>
      <c r="V80" s="1"/>
      <c r="W80" s="1"/>
      <c r="X80" s="1"/>
    </row>
    <row r="81" spans="1:24" ht="12.75" customHeight="1">
      <c r="A81" s="1"/>
      <c r="B81" s="66" t="s">
        <v>32</v>
      </c>
      <c r="C81" s="62">
        <f t="shared" si="48"/>
        <v>7.0044840521482452E-2</v>
      </c>
      <c r="D81" s="121">
        <v>195136</v>
      </c>
      <c r="E81" s="70"/>
      <c r="F81" s="67">
        <v>13668.27</v>
      </c>
      <c r="G81" s="67">
        <v>30258.91</v>
      </c>
      <c r="H81" s="67">
        <v>50325.7</v>
      </c>
      <c r="I81" s="67">
        <v>21906.600000000002</v>
      </c>
      <c r="J81" s="67">
        <v>21018.600000000002</v>
      </c>
      <c r="K81" s="67">
        <v>20286</v>
      </c>
      <c r="L81" s="67">
        <v>17204.02205</v>
      </c>
      <c r="M81" s="67">
        <v>17204.02205</v>
      </c>
      <c r="N81" s="67">
        <v>1361.6</v>
      </c>
      <c r="O81" s="67">
        <v>769.6</v>
      </c>
      <c r="P81" s="90">
        <v>384.8</v>
      </c>
      <c r="Q81" s="91">
        <f>SUMIFS($E81:$P81,$E$6:$P$6,Q$1)</f>
        <v>94252.88</v>
      </c>
      <c r="R81" s="91">
        <f>SUMIFS($E81:$P81,$E$6:$P$6,R$1)</f>
        <v>100135.24410000003</v>
      </c>
      <c r="S81" s="91">
        <f t="shared" si="49"/>
        <v>194388.12410000002</v>
      </c>
      <c r="T81" s="92">
        <f>D81-S81</f>
        <v>747.87589999998454</v>
      </c>
      <c r="U81" s="1"/>
      <c r="V81" s="1"/>
      <c r="W81" s="1"/>
      <c r="X81" s="1"/>
    </row>
    <row r="82" spans="1:24" ht="12.75" customHeight="1">
      <c r="A82" s="1"/>
      <c r="B82" s="61" t="s">
        <v>63</v>
      </c>
      <c r="C82" s="68"/>
      <c r="D82" s="119">
        <f t="shared" ref="D82:E82" si="50">SUM(D79:D81)</f>
        <v>506285.28</v>
      </c>
      <c r="E82" s="73">
        <f t="shared" si="50"/>
        <v>0</v>
      </c>
      <c r="F82" s="63">
        <f t="shared" ref="F82:P82" si="51">SUM(F79:F81)</f>
        <v>117765.59000000001</v>
      </c>
      <c r="G82" s="63">
        <f t="shared" si="51"/>
        <v>67335.91</v>
      </c>
      <c r="H82" s="63">
        <f t="shared" si="51"/>
        <v>86220.18</v>
      </c>
      <c r="I82" s="63">
        <f t="shared" si="51"/>
        <v>59292.897154000006</v>
      </c>
      <c r="J82" s="63">
        <f t="shared" si="51"/>
        <v>51962.590113999999</v>
      </c>
      <c r="K82" s="63">
        <f t="shared" si="51"/>
        <v>46324.020732999998</v>
      </c>
      <c r="L82" s="63">
        <f t="shared" si="51"/>
        <v>31462.162233999999</v>
      </c>
      <c r="M82" s="63">
        <f t="shared" si="51"/>
        <v>31462.162233999999</v>
      </c>
      <c r="N82" s="63">
        <f t="shared" si="51"/>
        <v>11526.006904</v>
      </c>
      <c r="O82" s="63">
        <f t="shared" si="51"/>
        <v>6620.4896840000001</v>
      </c>
      <c r="P82" s="63">
        <f t="shared" si="51"/>
        <v>3204.1768080000002</v>
      </c>
      <c r="Q82" s="63">
        <f t="shared" ref="Q82:T82" si="52">SUM(Q79:Q81)</f>
        <v>271321.68000000005</v>
      </c>
      <c r="R82" s="63">
        <f t="shared" si="52"/>
        <v>241854.50586500001</v>
      </c>
      <c r="S82" s="63">
        <f>SUM(S79:S81)</f>
        <v>513176.18586500001</v>
      </c>
      <c r="T82" s="63">
        <f t="shared" si="52"/>
        <v>-6890.9058649999788</v>
      </c>
      <c r="U82" s="1"/>
      <c r="V82" s="1"/>
      <c r="W82" s="1"/>
      <c r="X82" s="1"/>
    </row>
    <row r="83" spans="1:24" ht="12.75" customHeight="1">
      <c r="A83" s="1"/>
      <c r="B83" s="61"/>
      <c r="C83" s="68"/>
      <c r="D83" s="119"/>
      <c r="E83" s="7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1"/>
      <c r="V83" s="1"/>
      <c r="W83" s="1"/>
      <c r="X83" s="1"/>
    </row>
    <row r="84" spans="1:24" ht="12.75" customHeight="1">
      <c r="A84" s="1"/>
      <c r="B84" s="61" t="s">
        <v>64</v>
      </c>
      <c r="C84" s="62"/>
      <c r="D84" s="119">
        <v>273467.21999999997</v>
      </c>
      <c r="E84" s="73"/>
      <c r="F84" s="69">
        <v>85156.13</v>
      </c>
      <c r="G84" s="69">
        <v>30592.730000000003</v>
      </c>
      <c r="H84" s="69">
        <v>29814.73</v>
      </c>
      <c r="I84" s="69">
        <v>30731.580305929001</v>
      </c>
      <c r="J84" s="69">
        <v>25452.021204889003</v>
      </c>
      <c r="K84" s="69">
        <v>21418.829347970503</v>
      </c>
      <c r="L84" s="69">
        <v>11782.045621333998</v>
      </c>
      <c r="M84" s="69">
        <v>11782.045621333998</v>
      </c>
      <c r="N84" s="69">
        <v>8320.994843804001</v>
      </c>
      <c r="O84" s="69">
        <v>4786.5865158340002</v>
      </c>
      <c r="P84" s="93">
        <v>2309.6586131080003</v>
      </c>
      <c r="Q84" s="63">
        <f>SUMIFS($E84:$P84,$E$6:$P$6,Q$1)</f>
        <v>145563.59000000003</v>
      </c>
      <c r="R84" s="63">
        <f>SUMIFS($E84:$P84,$E$6:$P$6,R$1)</f>
        <v>116583.76207420249</v>
      </c>
      <c r="S84" s="63">
        <f>R84+Q84</f>
        <v>262147.3520742025</v>
      </c>
      <c r="T84" s="63">
        <f>D84-S84</f>
        <v>11319.867925797473</v>
      </c>
      <c r="U84" s="1"/>
      <c r="V84" s="1"/>
      <c r="W84" s="1"/>
      <c r="X84" s="1"/>
    </row>
    <row r="85" spans="1:24" ht="12.75" customHeight="1">
      <c r="A85" s="1"/>
      <c r="B85" s="61"/>
      <c r="C85" s="62"/>
      <c r="D85" s="119"/>
      <c r="E85" s="7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1"/>
      <c r="V85" s="1"/>
      <c r="W85" s="1"/>
      <c r="X85" s="1"/>
    </row>
    <row r="86" spans="1:24" ht="12.75" customHeight="1">
      <c r="A86" s="1"/>
      <c r="B86" s="61" t="s">
        <v>65</v>
      </c>
      <c r="C86" s="62"/>
      <c r="D86" s="119">
        <f t="shared" ref="D86:F86" si="53">SUM(D82:D85)*0.05</f>
        <v>38987.625</v>
      </c>
      <c r="E86" s="73">
        <f t="shared" si="53"/>
        <v>0</v>
      </c>
      <c r="F86" s="63">
        <f t="shared" si="53"/>
        <v>10146.086000000003</v>
      </c>
      <c r="G86" s="63">
        <f t="shared" ref="G86" si="54">SUM(G82:G85)*0.05</f>
        <v>4896.4320000000007</v>
      </c>
      <c r="H86" s="63">
        <f t="shared" ref="H86:O86" si="55">(H82+H84)*0.05</f>
        <v>5801.7455</v>
      </c>
      <c r="I86" s="63">
        <f t="shared" si="55"/>
        <v>4501.2238729964511</v>
      </c>
      <c r="J86" s="63">
        <f t="shared" si="55"/>
        <v>3870.7305659444501</v>
      </c>
      <c r="K86" s="63">
        <f t="shared" si="55"/>
        <v>3387.1425040485251</v>
      </c>
      <c r="L86" s="63">
        <f t="shared" si="55"/>
        <v>2162.2103927666999</v>
      </c>
      <c r="M86" s="63">
        <f t="shared" si="55"/>
        <v>2162.2103927666999</v>
      </c>
      <c r="N86" s="63">
        <f t="shared" si="55"/>
        <v>992.3500873902002</v>
      </c>
      <c r="O86" s="63">
        <f t="shared" si="55"/>
        <v>570.35380999170002</v>
      </c>
      <c r="P86" s="63">
        <v>275.69177105539893</v>
      </c>
      <c r="Q86" s="92">
        <f>SUMIFS($E86:$P86,$E$6:$P$6,Q$1)</f>
        <v>20844.263500000005</v>
      </c>
      <c r="R86" s="92">
        <f>SUMIFS($E86:$P86,$E$6:$P$6,R$1)</f>
        <v>17921.913396960124</v>
      </c>
      <c r="S86" s="92">
        <f t="shared" ref="S86" si="56">R86+Q86</f>
        <v>38766.176896960125</v>
      </c>
      <c r="T86" s="92">
        <f>D86-S86</f>
        <v>221.4481030398747</v>
      </c>
      <c r="U86" s="1"/>
      <c r="V86" s="1"/>
      <c r="W86" s="1"/>
      <c r="X86" s="1"/>
    </row>
    <row r="87" spans="1:24" ht="12.75" customHeight="1">
      <c r="A87" s="1"/>
      <c r="B87" s="61"/>
      <c r="C87" s="68"/>
      <c r="D87" s="119"/>
      <c r="E87" s="7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1"/>
      <c r="V87" s="1"/>
      <c r="W87" s="1"/>
      <c r="X87" s="1"/>
    </row>
    <row r="88" spans="1:24" ht="12.75" customHeight="1">
      <c r="A88" s="1"/>
      <c r="B88" s="61" t="s">
        <v>66</v>
      </c>
      <c r="C88" s="62">
        <f>(SUM(E88:F88)/D88)</f>
        <v>0.26023862700023409</v>
      </c>
      <c r="D88" s="119">
        <f>D84+D82+D86</f>
        <v>818740.125</v>
      </c>
      <c r="E88" s="73">
        <f t="shared" ref="E88:P88" si="57">E84+E82+E86</f>
        <v>0</v>
      </c>
      <c r="F88" s="63">
        <f t="shared" si="57"/>
        <v>213067.80600000004</v>
      </c>
      <c r="G88" s="63">
        <f t="shared" si="57"/>
        <v>102825.07200000001</v>
      </c>
      <c r="H88" s="63">
        <f t="shared" si="57"/>
        <v>121836.65549999999</v>
      </c>
      <c r="I88" s="63">
        <f t="shared" si="57"/>
        <v>94525.701332925455</v>
      </c>
      <c r="J88" s="63">
        <f t="shared" si="57"/>
        <v>81285.341884833455</v>
      </c>
      <c r="K88" s="63">
        <f t="shared" si="57"/>
        <v>71129.992585019019</v>
      </c>
      <c r="L88" s="63">
        <f t="shared" si="57"/>
        <v>45406.418248100694</v>
      </c>
      <c r="M88" s="63">
        <f t="shared" si="57"/>
        <v>45406.418248100694</v>
      </c>
      <c r="N88" s="63">
        <f t="shared" si="57"/>
        <v>20839.351835194204</v>
      </c>
      <c r="O88" s="63">
        <f t="shared" si="57"/>
        <v>11977.430009825701</v>
      </c>
      <c r="P88" s="63">
        <f t="shared" si="57"/>
        <v>5789.5271921633994</v>
      </c>
      <c r="Q88" s="63">
        <f t="shared" ref="Q88:R88" si="58">Q84+Q82+Q86</f>
        <v>437729.53350000008</v>
      </c>
      <c r="R88" s="63">
        <f t="shared" si="58"/>
        <v>376360.18133616261</v>
      </c>
      <c r="S88" s="63">
        <f>S84+S82+S86</f>
        <v>814089.71483616263</v>
      </c>
      <c r="T88" s="63">
        <f>T84+T82+T86</f>
        <v>4650.4101638373686</v>
      </c>
      <c r="U88" s="1"/>
      <c r="V88" s="1"/>
      <c r="W88" s="1"/>
      <c r="X88" s="1"/>
    </row>
    <row r="89" spans="1:24" ht="12.75" customHeight="1">
      <c r="A89" s="1"/>
      <c r="B89" s="14"/>
      <c r="C89" s="32"/>
      <c r="D89" s="115"/>
      <c r="E89" s="75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1"/>
      <c r="V89" s="1"/>
      <c r="W89" s="1"/>
      <c r="X89" s="1"/>
    </row>
    <row r="90" spans="1:24" ht="12.75" customHeight="1">
      <c r="A90" s="1"/>
      <c r="B90" s="113" t="s">
        <v>67</v>
      </c>
      <c r="C90" s="62"/>
      <c r="D90" s="119"/>
      <c r="E90" s="7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1"/>
      <c r="V90" s="1"/>
      <c r="W90" s="1"/>
      <c r="X90" s="1"/>
    </row>
    <row r="91" spans="1:24" ht="12.75" customHeight="1">
      <c r="A91" s="1"/>
      <c r="B91" s="61" t="s">
        <v>68</v>
      </c>
      <c r="C91" s="64"/>
      <c r="D91" s="120"/>
      <c r="E91" s="74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1"/>
      <c r="V91" s="1"/>
      <c r="W91" s="1"/>
      <c r="X91" s="1"/>
    </row>
    <row r="92" spans="1:24" ht="12.75" customHeight="1">
      <c r="A92" s="1"/>
      <c r="B92" s="66" t="s">
        <v>30</v>
      </c>
      <c r="C92" s="62">
        <f t="shared" ref="C92:C94" si="59">(SUM(E92:F92)/D92)</f>
        <v>0.35246982893838463</v>
      </c>
      <c r="D92" s="121">
        <v>216764</v>
      </c>
      <c r="E92" s="70"/>
      <c r="F92" s="67">
        <v>76402.77</v>
      </c>
      <c r="G92" s="67">
        <v>47679.17</v>
      </c>
      <c r="H92" s="67">
        <v>30408.82</v>
      </c>
      <c r="I92" s="67">
        <v>22004.579856</v>
      </c>
      <c r="J92" s="67">
        <v>13560.308816000001</v>
      </c>
      <c r="K92" s="67">
        <v>10382.165636</v>
      </c>
      <c r="L92" s="67">
        <v>6286.786204</v>
      </c>
      <c r="M92" s="67">
        <v>1664.7025000000001</v>
      </c>
      <c r="N92" s="67">
        <v>171.92305400000001</v>
      </c>
      <c r="O92" s="67">
        <v>171.92305400000001</v>
      </c>
      <c r="P92" s="90">
        <f>0.9*171.923054</f>
        <v>154.7307486</v>
      </c>
      <c r="Q92" s="91">
        <f>SUMIFS($E92:$P92,$E$6:$P$6,Q$1)</f>
        <v>154490.76</v>
      </c>
      <c r="R92" s="91">
        <f>SUMIFS($E92:$P92,$E$6:$P$6,R$1)</f>
        <v>54397.119868599992</v>
      </c>
      <c r="S92" s="91">
        <f t="shared" ref="S92:S94" si="60">R92+Q92</f>
        <v>208887.87986859999</v>
      </c>
      <c r="T92" s="92">
        <f>D92-S92</f>
        <v>7876.1201314000064</v>
      </c>
      <c r="U92" s="1"/>
      <c r="V92" s="1"/>
      <c r="W92" s="1"/>
      <c r="X92" s="1"/>
    </row>
    <row r="93" spans="1:24" ht="12.75" customHeight="1">
      <c r="A93" s="1"/>
      <c r="B93" s="66" t="s">
        <v>31</v>
      </c>
      <c r="C93" s="62" t="e">
        <f t="shared" si="59"/>
        <v>#DIV/0!</v>
      </c>
      <c r="D93" s="121">
        <v>0</v>
      </c>
      <c r="E93" s="70"/>
      <c r="F93" s="67">
        <v>0</v>
      </c>
      <c r="G93" s="67">
        <v>0</v>
      </c>
      <c r="H93" s="67">
        <v>0</v>
      </c>
      <c r="I93" s="67">
        <v>0</v>
      </c>
      <c r="J93" s="67">
        <v>0</v>
      </c>
      <c r="K93" s="67">
        <v>0</v>
      </c>
      <c r="L93" s="67">
        <v>0</v>
      </c>
      <c r="M93" s="67">
        <v>0</v>
      </c>
      <c r="N93" s="67">
        <v>0</v>
      </c>
      <c r="O93" s="67">
        <v>0</v>
      </c>
      <c r="P93" s="67">
        <v>0</v>
      </c>
      <c r="Q93" s="91">
        <f>SUMIFS($E93:$P93,$E$6:$P$6,Q$1)</f>
        <v>0</v>
      </c>
      <c r="R93" s="91">
        <f>SUMIFS($E93:$P93,$E$6:$P$6,R$1)</f>
        <v>0</v>
      </c>
      <c r="S93" s="91">
        <f t="shared" si="60"/>
        <v>0</v>
      </c>
      <c r="T93" s="92">
        <f>D93-S93</f>
        <v>0</v>
      </c>
      <c r="U93" s="1"/>
      <c r="V93" s="1"/>
      <c r="W93" s="1"/>
      <c r="X93" s="1"/>
    </row>
    <row r="94" spans="1:24" ht="12.75" customHeight="1">
      <c r="A94" s="1"/>
      <c r="B94" s="66" t="s">
        <v>32</v>
      </c>
      <c r="C94" s="62">
        <f t="shared" si="59"/>
        <v>8.269518783715615E-3</v>
      </c>
      <c r="D94" s="121">
        <v>6626937</v>
      </c>
      <c r="E94" s="70"/>
      <c r="F94" s="67">
        <v>54801.58</v>
      </c>
      <c r="G94" s="67">
        <v>591729.88</v>
      </c>
      <c r="H94" s="67">
        <v>1558955.97</v>
      </c>
      <c r="I94" s="67">
        <v>725063.38</v>
      </c>
      <c r="J94" s="67">
        <v>724471.38</v>
      </c>
      <c r="K94" s="67">
        <v>869742.74180000008</v>
      </c>
      <c r="L94" s="67">
        <v>1024997.92155</v>
      </c>
      <c r="M94" s="67">
        <v>1024672.32155</v>
      </c>
      <c r="N94" s="67">
        <v>9639.7999999999993</v>
      </c>
      <c r="O94" s="67">
        <v>9639.7999999999993</v>
      </c>
      <c r="P94" s="90">
        <f>0.9*9639.8</f>
        <v>8675.82</v>
      </c>
      <c r="Q94" s="91">
        <f>SUMIFS($E94:$P94,$E$6:$P$6,Q$1)</f>
        <v>2205487.4299999997</v>
      </c>
      <c r="R94" s="91">
        <f>SUMIFS($E94:$P94,$E$6:$P$6,R$1)</f>
        <v>4396903.1649000002</v>
      </c>
      <c r="S94" s="91">
        <f t="shared" si="60"/>
        <v>6602390.5948999999</v>
      </c>
      <c r="T94" s="92">
        <f>D94-S94</f>
        <v>24546.405100000091</v>
      </c>
      <c r="U94" s="1"/>
      <c r="V94" s="1"/>
      <c r="W94" s="1"/>
      <c r="X94" s="1"/>
    </row>
    <row r="95" spans="1:24" ht="12.75" customHeight="1">
      <c r="A95" s="1"/>
      <c r="B95" s="61" t="s">
        <v>69</v>
      </c>
      <c r="C95" s="68"/>
      <c r="D95" s="119">
        <f t="shared" ref="D95" si="61">SUM(D92:D94)</f>
        <v>6843701</v>
      </c>
      <c r="E95" s="73">
        <f t="shared" ref="E95:T95" si="62">SUM(E92:E94)</f>
        <v>0</v>
      </c>
      <c r="F95" s="63">
        <f t="shared" si="62"/>
        <v>131204.35</v>
      </c>
      <c r="G95" s="63">
        <f t="shared" si="62"/>
        <v>639409.05000000005</v>
      </c>
      <c r="H95" s="63">
        <f t="shared" si="62"/>
        <v>1589364.79</v>
      </c>
      <c r="I95" s="63">
        <f t="shared" si="62"/>
        <v>747067.95985600003</v>
      </c>
      <c r="J95" s="63">
        <f t="shared" si="62"/>
        <v>738031.68881600001</v>
      </c>
      <c r="K95" s="63">
        <f t="shared" si="62"/>
        <v>880124.90743600007</v>
      </c>
      <c r="L95" s="63">
        <f t="shared" si="62"/>
        <v>1031284.707754</v>
      </c>
      <c r="M95" s="63">
        <f t="shared" si="62"/>
        <v>1026337.02405</v>
      </c>
      <c r="N95" s="63">
        <f t="shared" si="62"/>
        <v>9811.723054</v>
      </c>
      <c r="O95" s="63">
        <f t="shared" si="62"/>
        <v>9811.723054</v>
      </c>
      <c r="P95" s="63">
        <f t="shared" si="62"/>
        <v>8830.5507486000006</v>
      </c>
      <c r="Q95" s="63">
        <f t="shared" si="62"/>
        <v>2359978.1899999995</v>
      </c>
      <c r="R95" s="63">
        <f t="shared" si="62"/>
        <v>4451300.2847686</v>
      </c>
      <c r="S95" s="63">
        <f t="shared" si="62"/>
        <v>6811278.4747685995</v>
      </c>
      <c r="T95" s="63">
        <f t="shared" si="62"/>
        <v>32422.525231400097</v>
      </c>
      <c r="U95" s="1"/>
      <c r="V95" s="1"/>
      <c r="W95" s="1"/>
      <c r="X95" s="1"/>
    </row>
    <row r="96" spans="1:24" ht="12.75" customHeight="1">
      <c r="A96" s="1"/>
      <c r="B96" s="61"/>
      <c r="C96" s="68"/>
      <c r="D96" s="119"/>
      <c r="E96" s="7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1"/>
      <c r="V96" s="1"/>
      <c r="W96" s="1"/>
      <c r="X96" s="1"/>
    </row>
    <row r="97" spans="1:24" ht="12.75" customHeight="1">
      <c r="A97" s="1"/>
      <c r="B97" s="61" t="s">
        <v>70</v>
      </c>
      <c r="C97" s="62"/>
      <c r="D97" s="119">
        <v>261611</v>
      </c>
      <c r="E97" s="73"/>
      <c r="F97" s="69">
        <v>72573.960000000006</v>
      </c>
      <c r="G97" s="69">
        <v>46571.119999999995</v>
      </c>
      <c r="H97" s="69">
        <v>38412.639999999999</v>
      </c>
      <c r="I97" s="69">
        <v>24541.021716456002</v>
      </c>
      <c r="J97" s="69">
        <v>17749.514001415999</v>
      </c>
      <c r="K97" s="69">
        <v>16143.841008986001</v>
      </c>
      <c r="L97" s="69">
        <v>13873.889145604</v>
      </c>
      <c r="M97" s="69">
        <v>10156.116145000002</v>
      </c>
      <c r="N97" s="69">
        <v>2304.5163280789998</v>
      </c>
      <c r="O97" s="69">
        <v>2304.5163280789998</v>
      </c>
      <c r="P97" s="93">
        <f>0.9*2304.516328079</f>
        <v>2074.0646952710999</v>
      </c>
      <c r="Q97" s="63">
        <f>SUMIFS($E97:$P97,$E$6:$P$6,Q$1)</f>
        <v>157557.72</v>
      </c>
      <c r="R97" s="63">
        <f>SUMIFS($E97:$P97,$E$6:$P$6,R$1)</f>
        <v>89147.479368891101</v>
      </c>
      <c r="S97" s="63">
        <f>R97+Q97</f>
        <v>246705.1993688911</v>
      </c>
      <c r="T97" s="63">
        <f>D97-S97</f>
        <v>14905.800631108898</v>
      </c>
      <c r="U97" s="1"/>
      <c r="V97" s="1"/>
      <c r="W97" s="1"/>
      <c r="X97" s="1"/>
    </row>
    <row r="98" spans="1:24" ht="12.75" customHeight="1">
      <c r="A98" s="1"/>
      <c r="B98" s="61"/>
      <c r="C98" s="62"/>
      <c r="D98" s="119"/>
      <c r="E98" s="7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1"/>
      <c r="V98" s="1"/>
      <c r="W98" s="1"/>
      <c r="X98" s="1"/>
    </row>
    <row r="99" spans="1:24" ht="12.75" customHeight="1">
      <c r="A99" s="1"/>
      <c r="B99" s="61" t="s">
        <v>71</v>
      </c>
      <c r="C99" s="62"/>
      <c r="D99" s="119">
        <f t="shared" ref="D99" si="63">SUM(D95:D98)*0.05</f>
        <v>355265.60000000003</v>
      </c>
      <c r="E99" s="73">
        <f t="shared" ref="E99:F99" si="64">SUM(E95:E98)*0.05</f>
        <v>0</v>
      </c>
      <c r="F99" s="63">
        <f t="shared" si="64"/>
        <v>10188.915500000001</v>
      </c>
      <c r="G99" s="63">
        <v>33818.7699999998</v>
      </c>
      <c r="H99" s="63">
        <f>(H95+H97)*0.05</f>
        <v>81388.871500000008</v>
      </c>
      <c r="I99" s="63">
        <v>38580.449078622856</v>
      </c>
      <c r="J99" s="63">
        <v>37789.060140870744</v>
      </c>
      <c r="K99" s="63">
        <v>44813.43742224935</v>
      </c>
      <c r="L99" s="63">
        <v>52257.929844980361</v>
      </c>
      <c r="M99" s="63">
        <v>51824.657009750139</v>
      </c>
      <c r="N99" s="63">
        <v>605.8119691039501</v>
      </c>
      <c r="O99" s="63">
        <v>605.8119691039501</v>
      </c>
      <c r="P99" s="63">
        <v>605.8119691039501</v>
      </c>
      <c r="Q99" s="92">
        <f>SUMIFS($E99:$P99,$E$6:$P$6,Q$1)</f>
        <v>125396.55699999981</v>
      </c>
      <c r="R99" s="92">
        <f>SUMIFS($E99:$P99,$E$6:$P$6,R$1)</f>
        <v>227082.96940378533</v>
      </c>
      <c r="S99" s="92">
        <f t="shared" ref="S99" si="65">R99+Q99</f>
        <v>352479.52640378516</v>
      </c>
      <c r="T99" s="92">
        <f>D99-S99</f>
        <v>2786.0735962148756</v>
      </c>
      <c r="U99" s="1"/>
      <c r="V99" s="1"/>
      <c r="W99" s="1"/>
      <c r="X99" s="1"/>
    </row>
    <row r="100" spans="1:24" ht="12.75" customHeight="1">
      <c r="A100" s="1"/>
      <c r="B100" s="61"/>
      <c r="C100" s="68"/>
      <c r="D100" s="119"/>
      <c r="E100" s="7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1"/>
      <c r="V100" s="1"/>
      <c r="W100" s="1"/>
      <c r="X100" s="1"/>
    </row>
    <row r="101" spans="1:24" ht="12.75" customHeight="1">
      <c r="A101" s="1"/>
      <c r="B101" s="61" t="s">
        <v>72</v>
      </c>
      <c r="C101" s="62">
        <f>(SUM(E101:F101)/D101)</f>
        <v>2.8679713149823684E-2</v>
      </c>
      <c r="D101" s="119">
        <f>D97+D95+D99</f>
        <v>7460577.5999999996</v>
      </c>
      <c r="E101" s="73">
        <f t="shared" ref="E101:S101" si="66">E97+E95+E99</f>
        <v>0</v>
      </c>
      <c r="F101" s="63">
        <f t="shared" si="66"/>
        <v>213967.2255</v>
      </c>
      <c r="G101" s="63">
        <f t="shared" si="66"/>
        <v>719798.93999999983</v>
      </c>
      <c r="H101" s="63">
        <f t="shared" si="66"/>
        <v>1709166.3015000001</v>
      </c>
      <c r="I101" s="63">
        <f t="shared" si="66"/>
        <v>810189.43065107893</v>
      </c>
      <c r="J101" s="63">
        <f t="shared" si="66"/>
        <v>793570.2629582868</v>
      </c>
      <c r="K101" s="63">
        <f t="shared" si="66"/>
        <v>941082.18586723541</v>
      </c>
      <c r="L101" s="63">
        <f t="shared" si="66"/>
        <v>1097416.5267445843</v>
      </c>
      <c r="M101" s="63">
        <f t="shared" si="66"/>
        <v>1088317.7972047501</v>
      </c>
      <c r="N101" s="63">
        <f t="shared" si="66"/>
        <v>12722.05135118295</v>
      </c>
      <c r="O101" s="63">
        <f t="shared" si="66"/>
        <v>12722.05135118295</v>
      </c>
      <c r="P101" s="63">
        <f t="shared" si="66"/>
        <v>11510.42741297505</v>
      </c>
      <c r="Q101" s="63">
        <f t="shared" si="66"/>
        <v>2642932.4669999997</v>
      </c>
      <c r="R101" s="63">
        <f t="shared" si="66"/>
        <v>4767530.7335412772</v>
      </c>
      <c r="S101" s="63">
        <f t="shared" si="66"/>
        <v>7410463.2005412756</v>
      </c>
      <c r="T101" s="63">
        <f>T97+T95+T99</f>
        <v>50114.39945872387</v>
      </c>
      <c r="U101" s="1"/>
      <c r="V101" s="1"/>
      <c r="W101" s="1"/>
      <c r="X101" s="1"/>
    </row>
    <row r="102" spans="1:24" ht="12.75" customHeight="1">
      <c r="A102" s="1"/>
      <c r="B102" s="14"/>
      <c r="C102" s="32"/>
      <c r="D102" s="115"/>
      <c r="E102" s="75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1"/>
      <c r="V102" s="1"/>
      <c r="W102" s="1"/>
      <c r="X102" s="1"/>
    </row>
    <row r="103" spans="1:24" ht="12.75" customHeight="1">
      <c r="A103" s="1"/>
      <c r="B103" s="107" t="s">
        <v>73</v>
      </c>
      <c r="C103" s="62"/>
      <c r="D103" s="119"/>
      <c r="E103" s="7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1"/>
      <c r="V103" s="1"/>
      <c r="W103" s="1"/>
      <c r="X103" s="1"/>
    </row>
    <row r="104" spans="1:24" ht="12.75" customHeight="1">
      <c r="A104" s="1"/>
      <c r="B104" s="61" t="s">
        <v>74</v>
      </c>
      <c r="C104" s="64"/>
      <c r="D104" s="120"/>
      <c r="E104" s="74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1"/>
      <c r="V104" s="1"/>
      <c r="W104" s="1"/>
      <c r="X104" s="1"/>
    </row>
    <row r="105" spans="1:24" ht="12.75" customHeight="1">
      <c r="A105" s="1"/>
      <c r="B105" s="66" t="s">
        <v>30</v>
      </c>
      <c r="C105" s="62">
        <f t="shared" ref="C105:C107" si="67">(SUM(E105:F105)/D105)</f>
        <v>3.0799834445651614E-2</v>
      </c>
      <c r="D105" s="121">
        <v>77316</v>
      </c>
      <c r="E105" s="70"/>
      <c r="F105" s="67">
        <v>2381.3200000000002</v>
      </c>
      <c r="G105" s="67">
        <v>3204.91</v>
      </c>
      <c r="H105" s="67">
        <v>5850.18</v>
      </c>
      <c r="I105" s="67">
        <v>15190.11492</v>
      </c>
      <c r="J105" s="67">
        <v>15190.11492</v>
      </c>
      <c r="K105" s="67">
        <v>13999.0417</v>
      </c>
      <c r="L105" s="67">
        <v>13284.397767999999</v>
      </c>
      <c r="M105" s="67">
        <v>0</v>
      </c>
      <c r="N105" s="67">
        <v>0</v>
      </c>
      <c r="O105" s="67">
        <v>0</v>
      </c>
      <c r="P105" s="90">
        <v>0</v>
      </c>
      <c r="Q105" s="91">
        <f>SUMIFS($E105:$P105,$E$6:$P$6,Q$1)</f>
        <v>11436.41</v>
      </c>
      <c r="R105" s="91">
        <f>SUMIFS($E105:$P105,$E$6:$P$6,R$1)</f>
        <v>57663.669307999997</v>
      </c>
      <c r="S105" s="91">
        <f t="shared" ref="S105:S107" si="68">R105+Q105</f>
        <v>69100.079308</v>
      </c>
      <c r="T105" s="92">
        <f>D105-S105</f>
        <v>8215.9206919999997</v>
      </c>
      <c r="U105" s="1"/>
      <c r="V105" s="1"/>
      <c r="W105" s="1"/>
      <c r="X105" s="1"/>
    </row>
    <row r="106" spans="1:24" ht="12.75" customHeight="1">
      <c r="A106" s="1"/>
      <c r="B106" s="66" t="s">
        <v>31</v>
      </c>
      <c r="C106" s="62" t="e">
        <f t="shared" si="67"/>
        <v>#DIV/0!</v>
      </c>
      <c r="D106" s="121"/>
      <c r="E106" s="70"/>
      <c r="F106" s="67">
        <v>0</v>
      </c>
      <c r="G106" s="67">
        <v>0</v>
      </c>
      <c r="H106" s="67">
        <v>0</v>
      </c>
      <c r="I106" s="67">
        <v>0</v>
      </c>
      <c r="J106" s="67">
        <v>0</v>
      </c>
      <c r="K106" s="67">
        <v>0</v>
      </c>
      <c r="L106" s="67">
        <v>0</v>
      </c>
      <c r="M106" s="67">
        <v>0</v>
      </c>
      <c r="N106" s="67">
        <v>0</v>
      </c>
      <c r="O106" s="67">
        <v>0</v>
      </c>
      <c r="P106" s="67">
        <v>0</v>
      </c>
      <c r="Q106" s="91">
        <f>SUMIFS($E106:$P106,$E$6:$P$6,Q$1)</f>
        <v>0</v>
      </c>
      <c r="R106" s="91">
        <f>SUMIFS($E106:$P106,$E$6:$P$6,R$1)</f>
        <v>0</v>
      </c>
      <c r="S106" s="91">
        <f t="shared" si="68"/>
        <v>0</v>
      </c>
      <c r="T106" s="92">
        <f>D106-S106</f>
        <v>0</v>
      </c>
      <c r="U106" s="1"/>
      <c r="V106" s="1"/>
      <c r="W106" s="1"/>
      <c r="X106" s="1"/>
    </row>
    <row r="107" spans="1:24" ht="12.75" customHeight="1">
      <c r="A107" s="1"/>
      <c r="B107" s="66" t="s">
        <v>32</v>
      </c>
      <c r="C107" s="62">
        <f t="shared" si="67"/>
        <v>3.1768860077490259E-4</v>
      </c>
      <c r="D107" s="121">
        <v>465865</v>
      </c>
      <c r="E107" s="70"/>
      <c r="F107" s="67">
        <v>148</v>
      </c>
      <c r="G107" s="67">
        <v>104456.44</v>
      </c>
      <c r="H107" s="67">
        <v>249331.57</v>
      </c>
      <c r="I107" s="67">
        <v>22462.83526</v>
      </c>
      <c r="J107" s="67">
        <v>22462.83526</v>
      </c>
      <c r="K107" s="67">
        <v>22388.83526</v>
      </c>
      <c r="L107" s="67">
        <v>22344.435259999998</v>
      </c>
      <c r="M107" s="67">
        <v>21574.83526</v>
      </c>
      <c r="N107" s="67">
        <v>0</v>
      </c>
      <c r="O107" s="67">
        <v>0</v>
      </c>
      <c r="P107" s="90">
        <v>0</v>
      </c>
      <c r="Q107" s="91">
        <f>SUMIFS($E107:$P107,$E$6:$P$6,Q$1)</f>
        <v>353936.01</v>
      </c>
      <c r="R107" s="91">
        <f>SUMIFS($E107:$P107,$E$6:$P$6,R$1)</f>
        <v>111233.7763</v>
      </c>
      <c r="S107" s="91">
        <f t="shared" si="68"/>
        <v>465169.78630000004</v>
      </c>
      <c r="T107" s="92">
        <f>D107-S107</f>
        <v>695.21369999996386</v>
      </c>
      <c r="U107" s="1"/>
      <c r="V107" s="1"/>
      <c r="W107" s="1"/>
      <c r="X107" s="1"/>
    </row>
    <row r="108" spans="1:24" ht="12.75" customHeight="1">
      <c r="A108" s="1"/>
      <c r="B108" s="61" t="s">
        <v>75</v>
      </c>
      <c r="C108" s="68"/>
      <c r="D108" s="119">
        <f t="shared" ref="D108" si="69">SUM(D105:D107)</f>
        <v>543181</v>
      </c>
      <c r="E108" s="73">
        <f t="shared" ref="E108:T108" si="70">SUM(E105:E107)</f>
        <v>0</v>
      </c>
      <c r="F108" s="63">
        <f t="shared" si="70"/>
        <v>2529.3200000000002</v>
      </c>
      <c r="G108" s="63">
        <f t="shared" si="70"/>
        <v>107661.35</v>
      </c>
      <c r="H108" s="63">
        <f t="shared" si="70"/>
        <v>255181.75</v>
      </c>
      <c r="I108" s="63">
        <f t="shared" si="70"/>
        <v>37652.95018</v>
      </c>
      <c r="J108" s="63">
        <f t="shared" si="70"/>
        <v>37652.95018</v>
      </c>
      <c r="K108" s="63">
        <f t="shared" si="70"/>
        <v>36387.876960000001</v>
      </c>
      <c r="L108" s="63">
        <f t="shared" si="70"/>
        <v>35628.833027999994</v>
      </c>
      <c r="M108" s="63">
        <f t="shared" si="70"/>
        <v>21574.83526</v>
      </c>
      <c r="N108" s="63">
        <f t="shared" si="70"/>
        <v>0</v>
      </c>
      <c r="O108" s="63">
        <f t="shared" si="70"/>
        <v>0</v>
      </c>
      <c r="P108" s="63">
        <f t="shared" si="70"/>
        <v>0</v>
      </c>
      <c r="Q108" s="63">
        <f t="shared" si="70"/>
        <v>365372.42</v>
      </c>
      <c r="R108" s="63">
        <f t="shared" si="70"/>
        <v>168897.44560799998</v>
      </c>
      <c r="S108" s="63">
        <f t="shared" si="70"/>
        <v>534269.86560800008</v>
      </c>
      <c r="T108" s="63">
        <f t="shared" si="70"/>
        <v>8911.1343919999636</v>
      </c>
      <c r="U108" s="1"/>
      <c r="V108" s="1"/>
      <c r="W108" s="1"/>
      <c r="X108" s="1"/>
    </row>
    <row r="109" spans="1:24" ht="12.75" customHeight="1">
      <c r="A109" s="1"/>
      <c r="B109" s="61"/>
      <c r="C109" s="68"/>
      <c r="D109" s="119"/>
      <c r="E109" s="7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1"/>
      <c r="V109" s="1"/>
      <c r="W109" s="1"/>
      <c r="X109" s="1"/>
    </row>
    <row r="110" spans="1:24" ht="12.75" customHeight="1">
      <c r="A110" s="1"/>
      <c r="B110" s="61" t="s">
        <v>76</v>
      </c>
      <c r="C110" s="62"/>
      <c r="D110" s="119">
        <v>69198</v>
      </c>
      <c r="E110" s="73"/>
      <c r="F110" s="69">
        <v>1910.97</v>
      </c>
      <c r="G110" s="69">
        <v>3253.6499999999996</v>
      </c>
      <c r="H110" s="69">
        <v>6321.21</v>
      </c>
      <c r="I110" s="69">
        <v>12318.59409792</v>
      </c>
      <c r="J110" s="69">
        <v>12318.59409792</v>
      </c>
      <c r="K110" s="69">
        <v>11362.78286395</v>
      </c>
      <c r="L110" s="69">
        <v>10789.296123568</v>
      </c>
      <c r="M110" s="69">
        <v>141.38848349999998</v>
      </c>
      <c r="N110" s="69">
        <v>0</v>
      </c>
      <c r="O110" s="69">
        <v>0</v>
      </c>
      <c r="P110" s="93">
        <v>0</v>
      </c>
      <c r="Q110" s="63">
        <f>SUMIFS($E110:$P110,$E$6:$P$6,Q$1)</f>
        <v>11485.83</v>
      </c>
      <c r="R110" s="63">
        <f>SUMIFS($E110:$P110,$E$6:$P$6,R$1)</f>
        <v>46930.655666857994</v>
      </c>
      <c r="S110" s="63">
        <f>R110+Q110</f>
        <v>58416.485666857996</v>
      </c>
      <c r="T110" s="63">
        <f>D110-S110</f>
        <v>10781.514333142004</v>
      </c>
      <c r="U110" s="1"/>
      <c r="V110" s="1"/>
      <c r="W110" s="1"/>
      <c r="X110" s="1"/>
    </row>
    <row r="111" spans="1:24" ht="12.75" customHeight="1">
      <c r="A111" s="1"/>
      <c r="B111" s="61"/>
      <c r="C111" s="62"/>
      <c r="D111" s="119"/>
      <c r="E111" s="7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1"/>
      <c r="V111" s="1"/>
      <c r="W111" s="1"/>
      <c r="X111" s="1"/>
    </row>
    <row r="112" spans="1:24" ht="12.75" customHeight="1">
      <c r="A112" s="1"/>
      <c r="B112" s="61" t="s">
        <v>77</v>
      </c>
      <c r="C112" s="62"/>
      <c r="D112" s="119">
        <f t="shared" ref="D112" si="71">SUM(D108:D111)*0.05</f>
        <v>30618.95</v>
      </c>
      <c r="E112" s="73">
        <f t="shared" ref="E112:F112" si="72">SUM(E108:E111)*0.05</f>
        <v>0</v>
      </c>
      <c r="F112" s="63">
        <f t="shared" si="72"/>
        <v>222.0145</v>
      </c>
      <c r="G112" s="63">
        <f t="shared" ref="G112:P112" si="73">SUM(G108:G111)*0.05</f>
        <v>5545.75</v>
      </c>
      <c r="H112" s="63">
        <f>(H108+H110)*0.05</f>
        <v>13075.148000000001</v>
      </c>
      <c r="I112" s="63">
        <v>2498.5772138959946</v>
      </c>
      <c r="J112" s="63">
        <v>2498.5772138959946</v>
      </c>
      <c r="K112" s="63">
        <v>2387.5329911974986</v>
      </c>
      <c r="L112" s="63">
        <v>2320.906457578385</v>
      </c>
      <c r="M112" s="63">
        <v>1085.8111871750007</v>
      </c>
      <c r="N112" s="63">
        <f t="shared" si="73"/>
        <v>0</v>
      </c>
      <c r="O112" s="63">
        <f t="shared" si="73"/>
        <v>0</v>
      </c>
      <c r="P112" s="63">
        <f t="shared" si="73"/>
        <v>0</v>
      </c>
      <c r="Q112" s="92">
        <f>SUMIFS($E112:$P112,$E$6:$P$6,Q$1)</f>
        <v>18842.912500000002</v>
      </c>
      <c r="R112" s="92">
        <f>SUMIFS($E112:$P112,$E$6:$P$6,R$1)</f>
        <v>10791.405063742874</v>
      </c>
      <c r="S112" s="92">
        <f t="shared" ref="S112" si="74">R112+Q112</f>
        <v>29634.317563742876</v>
      </c>
      <c r="T112" s="92">
        <f>D112-S112</f>
        <v>984.63243625712494</v>
      </c>
      <c r="U112" s="1"/>
      <c r="V112" s="1"/>
      <c r="W112" s="1"/>
      <c r="X112" s="1"/>
    </row>
    <row r="113" spans="1:24" ht="12.75" customHeight="1">
      <c r="A113" s="1"/>
      <c r="B113" s="61"/>
      <c r="C113" s="68"/>
      <c r="D113" s="119"/>
      <c r="E113" s="7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1"/>
      <c r="V113" s="1"/>
      <c r="W113" s="1"/>
      <c r="X113" s="1"/>
    </row>
    <row r="114" spans="1:24" ht="12.75" customHeight="1">
      <c r="A114" s="1"/>
      <c r="B114" s="61" t="s">
        <v>78</v>
      </c>
      <c r="C114" s="62">
        <f>(SUM(E114:F114)/D114)</f>
        <v>7.2508854810501349E-3</v>
      </c>
      <c r="D114" s="119">
        <f>D110+D108+D112</f>
        <v>642997.94999999995</v>
      </c>
      <c r="E114" s="73">
        <f t="shared" ref="E114:S114" si="75">E110+E108+E112</f>
        <v>0</v>
      </c>
      <c r="F114" s="63">
        <f t="shared" si="75"/>
        <v>4662.3045000000002</v>
      </c>
      <c r="G114" s="63">
        <f t="shared" si="75"/>
        <v>116460.75</v>
      </c>
      <c r="H114" s="63">
        <f t="shared" si="75"/>
        <v>274578.10800000001</v>
      </c>
      <c r="I114" s="63">
        <f t="shared" si="75"/>
        <v>52470.121491815997</v>
      </c>
      <c r="J114" s="63">
        <f t="shared" si="75"/>
        <v>52470.121491815997</v>
      </c>
      <c r="K114" s="63">
        <f t="shared" si="75"/>
        <v>50138.1928151475</v>
      </c>
      <c r="L114" s="63">
        <f t="shared" si="75"/>
        <v>48739.035609146376</v>
      </c>
      <c r="M114" s="63">
        <f t="shared" si="75"/>
        <v>22802.034930674999</v>
      </c>
      <c r="N114" s="63">
        <f t="shared" si="75"/>
        <v>0</v>
      </c>
      <c r="O114" s="63">
        <f t="shared" si="75"/>
        <v>0</v>
      </c>
      <c r="P114" s="63">
        <f t="shared" si="75"/>
        <v>0</v>
      </c>
      <c r="Q114" s="63">
        <f t="shared" si="75"/>
        <v>395701.16249999998</v>
      </c>
      <c r="R114" s="63">
        <f t="shared" si="75"/>
        <v>226619.50633860083</v>
      </c>
      <c r="S114" s="63">
        <f t="shared" si="75"/>
        <v>622320.66883860098</v>
      </c>
      <c r="T114" s="63">
        <f>T110+T108+T112</f>
        <v>20677.281161399093</v>
      </c>
      <c r="U114" s="1"/>
      <c r="V114" s="1"/>
      <c r="W114" s="1"/>
      <c r="X114" s="1"/>
    </row>
    <row r="115" spans="1:24" ht="12.75" customHeight="1">
      <c r="A115" s="1"/>
      <c r="B115" s="14"/>
      <c r="C115" s="32"/>
      <c r="D115" s="115"/>
      <c r="E115" s="75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1"/>
      <c r="V115" s="1"/>
      <c r="W115" s="1"/>
      <c r="X115" s="1"/>
    </row>
    <row r="116" spans="1:24" ht="12.75" customHeight="1">
      <c r="A116" s="1"/>
      <c r="B116" s="107" t="s">
        <v>79</v>
      </c>
      <c r="C116" s="62"/>
      <c r="D116" s="119"/>
      <c r="E116" s="7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1"/>
      <c r="V116" s="1"/>
      <c r="W116" s="1"/>
      <c r="X116" s="1"/>
    </row>
    <row r="117" spans="1:24" ht="12.75" customHeight="1">
      <c r="A117" s="1"/>
      <c r="B117" s="61" t="s">
        <v>80</v>
      </c>
      <c r="C117" s="64"/>
      <c r="D117" s="120"/>
      <c r="E117" s="74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1"/>
      <c r="V117" s="1"/>
      <c r="W117" s="1"/>
      <c r="X117" s="1"/>
    </row>
    <row r="118" spans="1:24" ht="12.75" customHeight="1">
      <c r="A118" s="1"/>
      <c r="B118" s="66" t="s">
        <v>30</v>
      </c>
      <c r="C118" s="62">
        <f t="shared" ref="C118:C120" si="76">(SUM(E118:F118)/D118)</f>
        <v>0.3380487523862386</v>
      </c>
      <c r="D118" s="121">
        <v>106061.27</v>
      </c>
      <c r="E118" s="70"/>
      <c r="F118" s="67">
        <v>35853.879999999997</v>
      </c>
      <c r="G118" s="67">
        <v>19297.8</v>
      </c>
      <c r="H118" s="67">
        <v>12969.06</v>
      </c>
      <c r="I118" s="67">
        <v>10004.429776000001</v>
      </c>
      <c r="J118" s="67">
        <v>10004.429776000001</v>
      </c>
      <c r="K118" s="67">
        <v>10004.429776000001</v>
      </c>
      <c r="L118" s="67">
        <v>10004.429776000001</v>
      </c>
      <c r="M118" s="67">
        <v>5526.6972719999994</v>
      </c>
      <c r="N118" s="90">
        <v>2896.432456</v>
      </c>
      <c r="O118" s="90">
        <v>2896.432456</v>
      </c>
      <c r="P118" s="90">
        <v>2896.432456</v>
      </c>
      <c r="Q118" s="91">
        <f>SUMIFS($E118:$P118,$E$6:$P$6,Q$1)</f>
        <v>68120.739999999991</v>
      </c>
      <c r="R118" s="91">
        <f>SUMIFS($E118:$P118,$E$6:$P$6,R$1)</f>
        <v>54233.713744000008</v>
      </c>
      <c r="S118" s="91">
        <f t="shared" ref="S118:S120" si="77">R118+Q118</f>
        <v>122354.453744</v>
      </c>
      <c r="T118" s="92">
        <f>D118-S118</f>
        <v>-16293.183743999994</v>
      </c>
      <c r="U118" s="1"/>
      <c r="V118" s="1"/>
      <c r="W118" s="1"/>
      <c r="X118" s="1"/>
    </row>
    <row r="119" spans="1:24" ht="12.75" customHeight="1">
      <c r="A119" s="1"/>
      <c r="B119" s="66" t="s">
        <v>31</v>
      </c>
      <c r="C119" s="62" t="e">
        <f t="shared" si="76"/>
        <v>#DIV/0!</v>
      </c>
      <c r="D119" s="121"/>
      <c r="E119" s="70"/>
      <c r="F119" s="67">
        <v>0</v>
      </c>
      <c r="G119" s="67">
        <v>0</v>
      </c>
      <c r="H119" s="67">
        <v>0</v>
      </c>
      <c r="I119" s="67">
        <v>0</v>
      </c>
      <c r="J119" s="67">
        <v>0</v>
      </c>
      <c r="K119" s="67">
        <v>0</v>
      </c>
      <c r="L119" s="67">
        <v>0</v>
      </c>
      <c r="M119" s="67">
        <v>0</v>
      </c>
      <c r="N119" s="67">
        <v>0</v>
      </c>
      <c r="O119" s="67">
        <v>0</v>
      </c>
      <c r="P119" s="67">
        <v>0</v>
      </c>
      <c r="Q119" s="91">
        <f>SUMIFS($E119:$P119,$E$6:$P$6,Q$1)</f>
        <v>0</v>
      </c>
      <c r="R119" s="91">
        <f>SUMIFS($E119:$P119,$E$6:$P$6,R$1)</f>
        <v>0</v>
      </c>
      <c r="S119" s="91">
        <f t="shared" si="77"/>
        <v>0</v>
      </c>
      <c r="T119" s="92">
        <f>D119-S119</f>
        <v>0</v>
      </c>
      <c r="U119" s="1"/>
      <c r="V119" s="1"/>
      <c r="W119" s="1"/>
      <c r="X119" s="1"/>
    </row>
    <row r="120" spans="1:24" ht="12.75" customHeight="1">
      <c r="A120" s="1"/>
      <c r="B120" s="66" t="s">
        <v>32</v>
      </c>
      <c r="C120" s="62">
        <f t="shared" si="76"/>
        <v>1.7513477373766094E-2</v>
      </c>
      <c r="D120" s="121">
        <v>260251</v>
      </c>
      <c r="E120" s="70"/>
      <c r="F120" s="67">
        <v>4557.8999999999996</v>
      </c>
      <c r="G120" s="67">
        <v>6952.1</v>
      </c>
      <c r="H120" s="67">
        <v>56466.2</v>
      </c>
      <c r="I120" s="67">
        <v>18766.36</v>
      </c>
      <c r="J120" s="67">
        <v>18766.36</v>
      </c>
      <c r="K120" s="67">
        <v>18766.36</v>
      </c>
      <c r="L120" s="67">
        <v>20682.439000000002</v>
      </c>
      <c r="M120" s="67">
        <v>107906.83900000001</v>
      </c>
      <c r="N120" s="90">
        <v>207.20000000000002</v>
      </c>
      <c r="O120" s="90">
        <v>207.20000000000002</v>
      </c>
      <c r="P120" s="90">
        <v>207.20000000000002</v>
      </c>
      <c r="Q120" s="91">
        <f>SUMIFS($E120:$P120,$E$6:$P$6,Q$1)</f>
        <v>67976.2</v>
      </c>
      <c r="R120" s="91">
        <f>SUMIFS($E120:$P120,$E$6:$P$6,R$1)</f>
        <v>185509.95800000004</v>
      </c>
      <c r="S120" s="91">
        <f t="shared" si="77"/>
        <v>253486.15800000005</v>
      </c>
      <c r="T120" s="92">
        <f>D120-S120</f>
        <v>6764.841999999946</v>
      </c>
      <c r="U120" s="1"/>
      <c r="V120" s="1"/>
      <c r="W120" s="1"/>
      <c r="X120" s="1"/>
    </row>
    <row r="121" spans="1:24" ht="12.75" customHeight="1">
      <c r="A121" s="1"/>
      <c r="B121" s="61" t="s">
        <v>81</v>
      </c>
      <c r="C121" s="68"/>
      <c r="D121" s="119">
        <f t="shared" ref="D121" si="78">SUM(D118:D120)</f>
        <v>366312.27</v>
      </c>
      <c r="E121" s="73">
        <f t="shared" ref="E121:T121" si="79">SUM(E118:E120)</f>
        <v>0</v>
      </c>
      <c r="F121" s="63">
        <f t="shared" si="79"/>
        <v>40411.78</v>
      </c>
      <c r="G121" s="63">
        <f t="shared" si="79"/>
        <v>26249.9</v>
      </c>
      <c r="H121" s="63">
        <f t="shared" si="79"/>
        <v>69435.259999999995</v>
      </c>
      <c r="I121" s="63">
        <f t="shared" si="79"/>
        <v>28770.789776000001</v>
      </c>
      <c r="J121" s="63">
        <f t="shared" si="79"/>
        <v>28770.789776000001</v>
      </c>
      <c r="K121" s="63">
        <f t="shared" si="79"/>
        <v>28770.789776000001</v>
      </c>
      <c r="L121" s="63">
        <f t="shared" si="79"/>
        <v>30686.868776000003</v>
      </c>
      <c r="M121" s="63">
        <f t="shared" si="79"/>
        <v>113433.53627200001</v>
      </c>
      <c r="N121" s="63">
        <f t="shared" si="79"/>
        <v>3103.6324559999998</v>
      </c>
      <c r="O121" s="63">
        <f t="shared" si="79"/>
        <v>3103.6324559999998</v>
      </c>
      <c r="P121" s="63">
        <f t="shared" si="79"/>
        <v>3103.6324559999998</v>
      </c>
      <c r="Q121" s="63">
        <f t="shared" si="79"/>
        <v>136096.94</v>
      </c>
      <c r="R121" s="63">
        <f t="shared" si="79"/>
        <v>239743.67174400005</v>
      </c>
      <c r="S121" s="63">
        <f t="shared" si="79"/>
        <v>375840.61174400005</v>
      </c>
      <c r="T121" s="63">
        <f t="shared" si="79"/>
        <v>-9528.3417440000485</v>
      </c>
      <c r="U121" s="1"/>
      <c r="V121" s="1"/>
      <c r="W121" s="1"/>
      <c r="X121" s="1"/>
    </row>
    <row r="122" spans="1:24" ht="12.75" customHeight="1">
      <c r="A122" s="1"/>
      <c r="B122" s="61"/>
      <c r="C122" s="68"/>
      <c r="D122" s="119"/>
      <c r="E122" s="7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1"/>
      <c r="V122" s="1"/>
      <c r="W122" s="1"/>
      <c r="X122" s="1"/>
    </row>
    <row r="123" spans="1:24" ht="12.75" customHeight="1">
      <c r="A123" s="1"/>
      <c r="B123" s="61" t="s">
        <v>82</v>
      </c>
      <c r="C123" s="62"/>
      <c r="D123" s="119">
        <v>116551.36</v>
      </c>
      <c r="E123" s="73"/>
      <c r="F123" s="69">
        <v>29296.32</v>
      </c>
      <c r="G123" s="69">
        <v>16780.509999999998</v>
      </c>
      <c r="H123" s="69">
        <v>11817.82</v>
      </c>
      <c r="I123" s="69">
        <v>8931.2238783760004</v>
      </c>
      <c r="J123" s="69">
        <v>8931.2238783760004</v>
      </c>
      <c r="K123" s="69">
        <v>8931.2238783760004</v>
      </c>
      <c r="L123" s="69">
        <v>8561.4991533760003</v>
      </c>
      <c r="M123" s="69">
        <v>5531.2970739720004</v>
      </c>
      <c r="N123" s="93">
        <v>2330.456991556</v>
      </c>
      <c r="O123" s="93">
        <v>2330.456991556</v>
      </c>
      <c r="P123" s="93">
        <v>2330.456991556</v>
      </c>
      <c r="Q123" s="63">
        <f>SUMIFS($E123:$P123,$E$6:$P$6,Q$1)</f>
        <v>57894.65</v>
      </c>
      <c r="R123" s="63">
        <f>SUMIFS($E123:$P123,$E$6:$P$6,R$1)</f>
        <v>47877.838837143994</v>
      </c>
      <c r="S123" s="63">
        <f>R123+Q123</f>
        <v>105772.48883714399</v>
      </c>
      <c r="T123" s="63">
        <f>D123-S123</f>
        <v>10778.871162856012</v>
      </c>
      <c r="U123" s="1"/>
      <c r="V123" s="1"/>
      <c r="W123" s="1"/>
      <c r="X123" s="1"/>
    </row>
    <row r="124" spans="1:24" ht="12.75" customHeight="1">
      <c r="A124" s="1"/>
      <c r="B124" s="61"/>
      <c r="C124" s="62"/>
      <c r="D124" s="119"/>
      <c r="E124" s="7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1"/>
      <c r="V124" s="1"/>
      <c r="W124" s="1"/>
      <c r="X124" s="1"/>
    </row>
    <row r="125" spans="1:24" ht="12.75" customHeight="1">
      <c r="A125" s="1"/>
      <c r="B125" s="61" t="s">
        <v>83</v>
      </c>
      <c r="C125" s="62"/>
      <c r="D125" s="119">
        <f t="shared" ref="D125" si="80">SUM(D121:D124)*0.05</f>
        <v>24143.181500000002</v>
      </c>
      <c r="E125" s="73">
        <f t="shared" ref="E125:G125" si="81">SUM(E121:E124)*0.05</f>
        <v>0</v>
      </c>
      <c r="F125" s="63">
        <f t="shared" si="81"/>
        <v>3485.4050000000007</v>
      </c>
      <c r="G125" s="63">
        <f t="shared" si="81"/>
        <v>2151.5205000000001</v>
      </c>
      <c r="H125" s="63">
        <f>(H121+H123)*0.05</f>
        <v>4062.6539999999995</v>
      </c>
      <c r="I125" s="63">
        <v>2256.7500746998048</v>
      </c>
      <c r="J125" s="63">
        <v>2070.9253787093039</v>
      </c>
      <c r="K125" s="63">
        <v>1885.1006827188103</v>
      </c>
      <c r="L125" s="63">
        <v>1962.4183964687982</v>
      </c>
      <c r="M125" s="63">
        <v>5948.2416672985855</v>
      </c>
      <c r="N125" s="63">
        <v>527.55172917020172</v>
      </c>
      <c r="O125" s="63">
        <v>420.36422917020172</v>
      </c>
      <c r="P125" s="63">
        <v>271.7044723777999</v>
      </c>
      <c r="Q125" s="92">
        <f>SUMIFS($E125:$P125,$E$6:$P$6,Q$1)</f>
        <v>9699.5794999999998</v>
      </c>
      <c r="R125" s="92">
        <f>SUMIFS($E125:$P125,$E$6:$P$6,R$1)</f>
        <v>15343.056630613506</v>
      </c>
      <c r="S125" s="92">
        <f t="shared" ref="S125" si="82">R125+Q125</f>
        <v>25042.636130613508</v>
      </c>
      <c r="T125" s="92">
        <f>D125-S125</f>
        <v>-899.45463061350529</v>
      </c>
      <c r="U125" s="1"/>
      <c r="V125" s="1"/>
      <c r="W125" s="1"/>
      <c r="X125" s="1"/>
    </row>
    <row r="126" spans="1:24" ht="12.75" customHeight="1">
      <c r="A126" s="1"/>
      <c r="B126" s="61"/>
      <c r="C126" s="68"/>
      <c r="D126" s="119"/>
      <c r="E126" s="7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1"/>
      <c r="V126" s="1"/>
      <c r="W126" s="1"/>
      <c r="X126" s="1"/>
    </row>
    <row r="127" spans="1:24" ht="12.75" customHeight="1">
      <c r="A127" s="1"/>
      <c r="B127" s="61" t="s">
        <v>84</v>
      </c>
      <c r="C127" s="62">
        <f>(SUM(E127:F127)/D127)</f>
        <v>0.14436394805713573</v>
      </c>
      <c r="D127" s="119">
        <f>D123+D121+D125</f>
        <v>507006.81150000001</v>
      </c>
      <c r="E127" s="73">
        <f t="shared" ref="E127:S127" si="83">E123+E121+E125</f>
        <v>0</v>
      </c>
      <c r="F127" s="63">
        <f t="shared" si="83"/>
        <v>73193.505000000005</v>
      </c>
      <c r="G127" s="63">
        <f t="shared" si="83"/>
        <v>45181.930500000002</v>
      </c>
      <c r="H127" s="63">
        <f t="shared" si="83"/>
        <v>85315.733999999982</v>
      </c>
      <c r="I127" s="63">
        <f t="shared" si="83"/>
        <v>39958.763729075807</v>
      </c>
      <c r="J127" s="63">
        <f t="shared" si="83"/>
        <v>39772.939033085306</v>
      </c>
      <c r="K127" s="63">
        <f t="shared" si="83"/>
        <v>39587.114337094812</v>
      </c>
      <c r="L127" s="63">
        <f t="shared" si="83"/>
        <v>41210.786325844805</v>
      </c>
      <c r="M127" s="63">
        <f t="shared" si="83"/>
        <v>124913.0750132706</v>
      </c>
      <c r="N127" s="63">
        <f t="shared" si="83"/>
        <v>5961.6411767262016</v>
      </c>
      <c r="O127" s="63">
        <f t="shared" si="83"/>
        <v>5854.4536767262016</v>
      </c>
      <c r="P127" s="63">
        <f t="shared" si="83"/>
        <v>5705.7939199337998</v>
      </c>
      <c r="Q127" s="63">
        <f t="shared" si="83"/>
        <v>203691.16949999999</v>
      </c>
      <c r="R127" s="63">
        <f t="shared" si="83"/>
        <v>302964.56721175753</v>
      </c>
      <c r="S127" s="63">
        <f t="shared" si="83"/>
        <v>506655.73671175755</v>
      </c>
      <c r="T127" s="63">
        <f>T123+T121+T125</f>
        <v>351.07478824245845</v>
      </c>
      <c r="U127" s="1"/>
      <c r="V127" s="1"/>
      <c r="W127" s="1"/>
      <c r="X127" s="1"/>
    </row>
    <row r="128" spans="1:24" ht="12.75" customHeight="1">
      <c r="A128" s="1"/>
      <c r="B128" s="14"/>
      <c r="C128" s="32"/>
      <c r="D128" s="115"/>
      <c r="E128" s="75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1"/>
      <c r="V128" s="1"/>
      <c r="W128" s="1"/>
      <c r="X128" s="1"/>
    </row>
    <row r="129" spans="1:24" ht="18.75" customHeight="1">
      <c r="A129" s="1"/>
      <c r="B129" s="107" t="s">
        <v>85</v>
      </c>
      <c r="C129" s="62"/>
      <c r="D129" s="119"/>
      <c r="E129" s="7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1"/>
      <c r="V129" s="1"/>
      <c r="W129" s="1"/>
      <c r="X129" s="1"/>
    </row>
    <row r="130" spans="1:24" ht="12.75" customHeight="1">
      <c r="A130" s="1"/>
      <c r="B130" s="61" t="s">
        <v>86</v>
      </c>
      <c r="C130" s="64"/>
      <c r="D130" s="120"/>
      <c r="E130" s="74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1"/>
      <c r="V130" s="1"/>
      <c r="W130" s="1"/>
      <c r="X130" s="1"/>
    </row>
    <row r="131" spans="1:24" ht="12.75" customHeight="1">
      <c r="A131" s="1"/>
      <c r="B131" s="66" t="s">
        <v>30</v>
      </c>
      <c r="C131" s="62" t="e">
        <f t="shared" ref="C131:C133" si="84">(SUM(E131:F131)/D131)</f>
        <v>#DIV/0!</v>
      </c>
      <c r="D131" s="121">
        <v>0</v>
      </c>
      <c r="E131" s="70"/>
      <c r="F131" s="67">
        <v>942091.11</v>
      </c>
      <c r="G131" s="67">
        <v>0</v>
      </c>
      <c r="H131" s="67">
        <v>133.76</v>
      </c>
      <c r="I131" s="67">
        <v>0</v>
      </c>
      <c r="J131" s="67">
        <v>0</v>
      </c>
      <c r="K131" s="67">
        <v>0</v>
      </c>
      <c r="L131" s="67">
        <v>0</v>
      </c>
      <c r="M131" s="67">
        <v>0</v>
      </c>
      <c r="N131" s="67">
        <v>0</v>
      </c>
      <c r="O131" s="67">
        <v>0</v>
      </c>
      <c r="P131" s="67">
        <v>0</v>
      </c>
      <c r="Q131" s="91">
        <f>SUMIFS($E131:$P131,$E$6:$P$6,Q$1)</f>
        <v>942224.87</v>
      </c>
      <c r="R131" s="91">
        <f>SUMIFS($E131:$P131,$E$6:$P$6,R$1)</f>
        <v>0</v>
      </c>
      <c r="S131" s="91">
        <f t="shared" ref="S131:S133" si="85">R131+Q131</f>
        <v>942224.87</v>
      </c>
      <c r="T131" s="92">
        <f>D131-S131</f>
        <v>-942224.87</v>
      </c>
      <c r="U131" s="1"/>
      <c r="V131" s="1"/>
      <c r="W131" s="1"/>
      <c r="X131" s="1"/>
    </row>
    <row r="132" spans="1:24" ht="12.75" customHeight="1">
      <c r="A132" s="1"/>
      <c r="B132" s="66" t="s">
        <v>31</v>
      </c>
      <c r="C132" s="62" t="e">
        <f t="shared" si="84"/>
        <v>#DIV/0!</v>
      </c>
      <c r="D132" s="121"/>
      <c r="E132" s="70"/>
      <c r="F132" s="67">
        <v>0</v>
      </c>
      <c r="G132" s="67">
        <v>0</v>
      </c>
      <c r="H132" s="67">
        <v>0</v>
      </c>
      <c r="I132" s="67">
        <v>0</v>
      </c>
      <c r="J132" s="67">
        <v>0</v>
      </c>
      <c r="K132" s="67">
        <v>0</v>
      </c>
      <c r="L132" s="67">
        <v>0</v>
      </c>
      <c r="M132" s="67">
        <v>0</v>
      </c>
      <c r="N132" s="67">
        <v>0</v>
      </c>
      <c r="O132" s="67">
        <v>0</v>
      </c>
      <c r="P132" s="67">
        <v>0</v>
      </c>
      <c r="Q132" s="91">
        <f>SUMIFS($E132:$P132,$E$6:$P$6,Q$1)</f>
        <v>0</v>
      </c>
      <c r="R132" s="91">
        <f>SUMIFS($E132:$P132,$E$6:$P$6,R$1)</f>
        <v>0</v>
      </c>
      <c r="S132" s="91">
        <f t="shared" si="85"/>
        <v>0</v>
      </c>
      <c r="T132" s="92">
        <f>D132-S132</f>
        <v>0</v>
      </c>
      <c r="U132" s="1"/>
      <c r="V132" s="1"/>
      <c r="W132" s="1"/>
      <c r="X132" s="1"/>
    </row>
    <row r="133" spans="1:24" ht="12.75" customHeight="1">
      <c r="A133" s="1"/>
      <c r="B133" s="66" t="s">
        <v>32</v>
      </c>
      <c r="C133" s="62">
        <f t="shared" si="84"/>
        <v>0.88975158753241967</v>
      </c>
      <c r="D133" s="121">
        <v>7313079</v>
      </c>
      <c r="E133" s="70"/>
      <c r="F133" s="67">
        <v>6506823.6500000004</v>
      </c>
      <c r="G133" s="67">
        <v>10550.6</v>
      </c>
      <c r="H133" s="67">
        <v>60045.53</v>
      </c>
      <c r="I133" s="67">
        <v>0</v>
      </c>
      <c r="J133" s="67">
        <v>0</v>
      </c>
      <c r="K133" s="67">
        <v>0</v>
      </c>
      <c r="L133" s="67">
        <v>0</v>
      </c>
      <c r="M133" s="67">
        <v>0</v>
      </c>
      <c r="N133" s="67">
        <v>0</v>
      </c>
      <c r="O133" s="67">
        <v>0</v>
      </c>
      <c r="P133" s="67">
        <v>0</v>
      </c>
      <c r="Q133" s="91">
        <f>SUMIFS($E133:$P133,$E$6:$P$6,Q$1)</f>
        <v>6577419.7800000003</v>
      </c>
      <c r="R133" s="91">
        <f>SUMIFS($E133:$P133,$E$6:$P$6,R$1)</f>
        <v>0</v>
      </c>
      <c r="S133" s="91">
        <f t="shared" si="85"/>
        <v>6577419.7800000003</v>
      </c>
      <c r="T133" s="92">
        <f>D133-S133</f>
        <v>735659.21999999974</v>
      </c>
      <c r="U133" s="1"/>
      <c r="V133" s="1"/>
      <c r="W133" s="1"/>
      <c r="X133" s="1"/>
    </row>
    <row r="134" spans="1:24" ht="12.75" customHeight="1">
      <c r="A134" s="1"/>
      <c r="B134" s="61" t="s">
        <v>87</v>
      </c>
      <c r="C134" s="68"/>
      <c r="D134" s="119">
        <f t="shared" ref="D134" si="86">SUM(D131:D133)</f>
        <v>7313079</v>
      </c>
      <c r="E134" s="73">
        <f t="shared" ref="E134:P134" si="87">SUM(E131:E133)</f>
        <v>0</v>
      </c>
      <c r="F134" s="63">
        <f t="shared" si="87"/>
        <v>7448914.7600000007</v>
      </c>
      <c r="G134" s="63">
        <f t="shared" si="87"/>
        <v>10550.6</v>
      </c>
      <c r="H134" s="63">
        <f t="shared" si="87"/>
        <v>60179.29</v>
      </c>
      <c r="I134" s="63">
        <f t="shared" si="87"/>
        <v>0</v>
      </c>
      <c r="J134" s="63">
        <f t="shared" si="87"/>
        <v>0</v>
      </c>
      <c r="K134" s="63">
        <f t="shared" si="87"/>
        <v>0</v>
      </c>
      <c r="L134" s="63">
        <f t="shared" si="87"/>
        <v>0</v>
      </c>
      <c r="M134" s="63">
        <f t="shared" si="87"/>
        <v>0</v>
      </c>
      <c r="N134" s="63">
        <f t="shared" si="87"/>
        <v>0</v>
      </c>
      <c r="O134" s="63">
        <f t="shared" si="87"/>
        <v>0</v>
      </c>
      <c r="P134" s="63">
        <f t="shared" si="87"/>
        <v>0</v>
      </c>
      <c r="Q134" s="63">
        <f t="shared" ref="Q134:T134" si="88">SUM(Q131:Q133)</f>
        <v>7519644.6500000004</v>
      </c>
      <c r="R134" s="63">
        <f t="shared" si="88"/>
        <v>0</v>
      </c>
      <c r="S134" s="63">
        <f t="shared" si="88"/>
        <v>7519644.6500000004</v>
      </c>
      <c r="T134" s="63">
        <f t="shared" si="88"/>
        <v>-206565.65000000026</v>
      </c>
      <c r="U134" s="1"/>
      <c r="V134" s="1"/>
      <c r="W134" s="1"/>
      <c r="X134" s="1"/>
    </row>
    <row r="135" spans="1:24" ht="12.75" customHeight="1">
      <c r="A135" s="1"/>
      <c r="B135" s="61"/>
      <c r="C135" s="68"/>
      <c r="D135" s="119"/>
      <c r="E135" s="7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1"/>
      <c r="V135" s="1"/>
      <c r="W135" s="1"/>
      <c r="X135" s="1"/>
    </row>
    <row r="136" spans="1:24" ht="12.75" customHeight="1">
      <c r="A136" s="1"/>
      <c r="B136" s="61" t="s">
        <v>88</v>
      </c>
      <c r="C136" s="62"/>
      <c r="D136" s="119">
        <v>1462616</v>
      </c>
      <c r="E136" s="73"/>
      <c r="F136" s="69">
        <v>1676005.85</v>
      </c>
      <c r="G136" s="69">
        <v>2373.89</v>
      </c>
      <c r="H136" s="69">
        <v>13615.72</v>
      </c>
      <c r="I136" s="69">
        <v>0</v>
      </c>
      <c r="J136" s="69">
        <v>0</v>
      </c>
      <c r="K136" s="69">
        <v>0</v>
      </c>
      <c r="L136" s="69">
        <v>0</v>
      </c>
      <c r="M136" s="69">
        <v>0</v>
      </c>
      <c r="N136" s="69">
        <v>0</v>
      </c>
      <c r="O136" s="69">
        <v>0</v>
      </c>
      <c r="P136" s="69">
        <v>0</v>
      </c>
      <c r="Q136" s="63">
        <f>SUMIFS($E136:$P136,$E$6:$P$6,Q$1)</f>
        <v>1691995.46</v>
      </c>
      <c r="R136" s="63">
        <f>SUMIFS($E136:$P136,$E$6:$P$6,R$1)</f>
        <v>0</v>
      </c>
      <c r="S136" s="63">
        <f>R136+Q136</f>
        <v>1691995.46</v>
      </c>
      <c r="T136" s="63">
        <f>D136-S136</f>
        <v>-229379.45999999996</v>
      </c>
      <c r="U136" s="1"/>
      <c r="V136" s="1"/>
      <c r="W136" s="1"/>
      <c r="X136" s="1"/>
    </row>
    <row r="137" spans="1:24" ht="12.75" customHeight="1">
      <c r="A137" s="1"/>
      <c r="B137" s="61"/>
      <c r="C137" s="62"/>
      <c r="D137" s="119"/>
      <c r="E137" s="7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1"/>
      <c r="V137" s="1"/>
      <c r="W137" s="1"/>
      <c r="X137" s="1"/>
    </row>
    <row r="138" spans="1:24" ht="12.75" customHeight="1">
      <c r="A138" s="1"/>
      <c r="B138" s="61" t="s">
        <v>89</v>
      </c>
      <c r="C138" s="62"/>
      <c r="D138" s="119">
        <f t="shared" ref="D138" si="89">SUM(D134:D137)*0.05</f>
        <v>438784.75</v>
      </c>
      <c r="E138" s="73">
        <f t="shared" ref="E138:F138" si="90">SUM(E134:E137)*0.05</f>
        <v>0</v>
      </c>
      <c r="F138" s="63">
        <f t="shared" si="90"/>
        <v>456246.03050000011</v>
      </c>
      <c r="G138" s="63">
        <f t="shared" ref="G138:P138" si="91">SUM(G134:G137)*0.05</f>
        <v>646.22450000000003</v>
      </c>
      <c r="H138" s="63">
        <f>((H134+H136)*0.05)-300000</f>
        <v>-296310.24949999998</v>
      </c>
      <c r="I138" s="63">
        <f t="shared" si="91"/>
        <v>0</v>
      </c>
      <c r="J138" s="63">
        <f t="shared" si="91"/>
        <v>0</v>
      </c>
      <c r="K138" s="63">
        <f t="shared" si="91"/>
        <v>0</v>
      </c>
      <c r="L138" s="63">
        <f t="shared" si="91"/>
        <v>0</v>
      </c>
      <c r="M138" s="63">
        <f t="shared" si="91"/>
        <v>0</v>
      </c>
      <c r="N138" s="63">
        <f t="shared" si="91"/>
        <v>0</v>
      </c>
      <c r="O138" s="63">
        <f t="shared" si="91"/>
        <v>0</v>
      </c>
      <c r="P138" s="63">
        <f t="shared" si="91"/>
        <v>0</v>
      </c>
      <c r="Q138" s="92">
        <f>SUMIFS($E138:$P138,$E$6:$P$6,Q$1)</f>
        <v>160582.00550000014</v>
      </c>
      <c r="R138" s="92">
        <f>SUMIFS($E138:$P138,$E$6:$P$6,R$1)</f>
        <v>0</v>
      </c>
      <c r="S138" s="92">
        <f t="shared" ref="S138" si="92">R138+Q138</f>
        <v>160582.00550000014</v>
      </c>
      <c r="T138" s="92">
        <f>D138-S138</f>
        <v>278202.74449999986</v>
      </c>
      <c r="U138" s="1"/>
      <c r="V138" s="1"/>
      <c r="W138" s="1"/>
      <c r="X138" s="1"/>
    </row>
    <row r="139" spans="1:24" ht="12.75" customHeight="1">
      <c r="A139" s="1"/>
      <c r="B139" s="61"/>
      <c r="C139" s="68"/>
      <c r="D139" s="119"/>
      <c r="E139" s="7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1"/>
      <c r="V139" s="1"/>
      <c r="W139" s="1"/>
      <c r="X139" s="1"/>
    </row>
    <row r="140" spans="1:24" ht="12.75" customHeight="1">
      <c r="A140" s="1"/>
      <c r="B140" s="61" t="s">
        <v>90</v>
      </c>
      <c r="C140" s="62">
        <f t="shared" ref="C140" si="93">(SUM(E140:F140)/D140)</f>
        <v>1.0397946384873222</v>
      </c>
      <c r="D140" s="119">
        <f>D136+D134+D138</f>
        <v>9214479.75</v>
      </c>
      <c r="E140" s="73">
        <f t="shared" ref="E140:P140" si="94">E136+E134+E138</f>
        <v>0</v>
      </c>
      <c r="F140" s="63">
        <f t="shared" si="94"/>
        <v>9581166.6405000016</v>
      </c>
      <c r="G140" s="63">
        <f t="shared" si="94"/>
        <v>13570.7145</v>
      </c>
      <c r="H140" s="63">
        <f t="shared" si="94"/>
        <v>-222515.23949999997</v>
      </c>
      <c r="I140" s="63">
        <f t="shared" si="94"/>
        <v>0</v>
      </c>
      <c r="J140" s="63">
        <f t="shared" si="94"/>
        <v>0</v>
      </c>
      <c r="K140" s="63">
        <f t="shared" si="94"/>
        <v>0</v>
      </c>
      <c r="L140" s="63">
        <f t="shared" si="94"/>
        <v>0</v>
      </c>
      <c r="M140" s="63">
        <f t="shared" si="94"/>
        <v>0</v>
      </c>
      <c r="N140" s="63">
        <f t="shared" si="94"/>
        <v>0</v>
      </c>
      <c r="O140" s="63">
        <f t="shared" si="94"/>
        <v>0</v>
      </c>
      <c r="P140" s="63">
        <f t="shared" si="94"/>
        <v>0</v>
      </c>
      <c r="Q140" s="63">
        <f t="shared" ref="Q140:S140" si="95">Q136+Q134+Q138</f>
        <v>9372222.1154999994</v>
      </c>
      <c r="R140" s="63">
        <f t="shared" si="95"/>
        <v>0</v>
      </c>
      <c r="S140" s="63">
        <f t="shared" si="95"/>
        <v>9372222.1154999994</v>
      </c>
      <c r="T140" s="63">
        <f>T136+T134+T138</f>
        <v>-157742.36550000036</v>
      </c>
      <c r="U140" s="1"/>
      <c r="V140" s="1"/>
      <c r="W140" s="1"/>
      <c r="X140" s="1"/>
    </row>
    <row r="141" spans="1:24" ht="12.75" customHeight="1">
      <c r="A141" s="1"/>
      <c r="B141" s="14"/>
      <c r="C141" s="32"/>
      <c r="D141" s="115"/>
      <c r="E141" s="75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1"/>
      <c r="V141" s="1"/>
      <c r="W141" s="1"/>
      <c r="X141" s="1"/>
    </row>
    <row r="142" spans="1:24" ht="18.75" customHeight="1">
      <c r="A142" s="1"/>
      <c r="B142" s="113" t="s">
        <v>91</v>
      </c>
      <c r="C142" s="62"/>
      <c r="D142" s="119"/>
      <c r="E142" s="7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1"/>
      <c r="V142" s="1"/>
      <c r="W142" s="1"/>
      <c r="X142" s="1"/>
    </row>
    <row r="143" spans="1:24" ht="12.75" customHeight="1">
      <c r="A143" s="1"/>
      <c r="B143" s="61" t="s">
        <v>92</v>
      </c>
      <c r="C143" s="64"/>
      <c r="D143" s="120"/>
      <c r="E143" s="74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1"/>
      <c r="V143" s="1"/>
      <c r="W143" s="1"/>
      <c r="X143" s="1"/>
    </row>
    <row r="144" spans="1:24" ht="12.75" customHeight="1">
      <c r="A144" s="1"/>
      <c r="B144" s="66" t="s">
        <v>30</v>
      </c>
      <c r="C144" s="62">
        <f t="shared" ref="C144:C146" si="96">(SUM(E144:F144)/D144)</f>
        <v>0.39760721127343795</v>
      </c>
      <c r="D144" s="121">
        <v>219465.26</v>
      </c>
      <c r="E144" s="70"/>
      <c r="F144" s="67">
        <v>87260.97</v>
      </c>
      <c r="G144" s="67">
        <v>36131.270000000004</v>
      </c>
      <c r="H144" s="67">
        <v>-24285.22</v>
      </c>
      <c r="I144" s="67">
        <v>19310.535441</v>
      </c>
      <c r="J144" s="67">
        <v>20064.954624999998</v>
      </c>
      <c r="K144" s="67">
        <v>16673.238569999998</v>
      </c>
      <c r="L144" s="67">
        <v>16673.238569999998</v>
      </c>
      <c r="M144" s="67">
        <v>14271.697694000002</v>
      </c>
      <c r="N144" s="67">
        <v>14271.697694000002</v>
      </c>
      <c r="O144" s="67">
        <v>14271.697694000002</v>
      </c>
      <c r="P144" s="67">
        <v>14271.697694000002</v>
      </c>
      <c r="Q144" s="91">
        <f>SUMIFS($E144:$P144,$E$6:$P$6,Q$1)</f>
        <v>99107.02</v>
      </c>
      <c r="R144" s="91">
        <f>SUMIFS($E144:$P144,$E$6:$P$6,R$1)</f>
        <v>129808.75798200001</v>
      </c>
      <c r="S144" s="91">
        <f t="shared" ref="S144:S146" si="97">R144+Q144</f>
        <v>228915.77798200003</v>
      </c>
      <c r="T144" s="92">
        <f>D144-S144</f>
        <v>-9450.5179820000194</v>
      </c>
      <c r="U144" s="1"/>
      <c r="V144" s="1"/>
      <c r="W144" s="1"/>
      <c r="X144" s="1"/>
    </row>
    <row r="145" spans="1:24" ht="12.75" customHeight="1">
      <c r="A145" s="1"/>
      <c r="B145" s="66" t="s">
        <v>31</v>
      </c>
      <c r="C145" s="62" t="e">
        <f t="shared" si="96"/>
        <v>#DIV/0!</v>
      </c>
      <c r="D145" s="121">
        <v>0</v>
      </c>
      <c r="E145" s="70"/>
      <c r="F145" s="67">
        <v>1030.92</v>
      </c>
      <c r="G145" s="67">
        <v>0</v>
      </c>
      <c r="H145" s="67">
        <v>0</v>
      </c>
      <c r="I145" s="67">
        <v>0</v>
      </c>
      <c r="J145" s="67">
        <v>0</v>
      </c>
      <c r="K145" s="67">
        <v>0</v>
      </c>
      <c r="L145" s="67">
        <v>0</v>
      </c>
      <c r="M145" s="67">
        <v>0</v>
      </c>
      <c r="N145" s="67">
        <v>0</v>
      </c>
      <c r="O145" s="67">
        <v>0</v>
      </c>
      <c r="P145" s="67">
        <v>0</v>
      </c>
      <c r="Q145" s="91">
        <f>SUMIFS($E145:$P145,$E$6:$P$6,Q$1)</f>
        <v>1030.92</v>
      </c>
      <c r="R145" s="91">
        <f>SUMIFS($E145:$P145,$E$6:$P$6,R$1)</f>
        <v>0</v>
      </c>
      <c r="S145" s="91">
        <f t="shared" si="97"/>
        <v>1030.92</v>
      </c>
      <c r="T145" s="92">
        <f>D145-S145</f>
        <v>-1030.92</v>
      </c>
      <c r="U145" s="1"/>
      <c r="V145" s="1"/>
      <c r="W145" s="1"/>
      <c r="X145" s="1"/>
    </row>
    <row r="146" spans="1:24" ht="12.75" customHeight="1">
      <c r="A146" s="1"/>
      <c r="B146" s="66" t="s">
        <v>32</v>
      </c>
      <c r="C146" s="62">
        <f t="shared" si="96"/>
        <v>0.407962655392823</v>
      </c>
      <c r="D146" s="121">
        <v>19869</v>
      </c>
      <c r="E146" s="70"/>
      <c r="F146" s="67">
        <v>8105.81</v>
      </c>
      <c r="G146" s="67">
        <v>2569.65</v>
      </c>
      <c r="H146" s="67">
        <v>-3784.21</v>
      </c>
      <c r="I146" s="67">
        <v>1213.5999999999999</v>
      </c>
      <c r="J146" s="67">
        <v>1332</v>
      </c>
      <c r="K146" s="67">
        <v>1147</v>
      </c>
      <c r="L146" s="67">
        <v>1147</v>
      </c>
      <c r="M146" s="67">
        <v>1117.4000000000001</v>
      </c>
      <c r="N146" s="67">
        <v>1117.4000000000001</v>
      </c>
      <c r="O146" s="67">
        <v>1117.4000000000001</v>
      </c>
      <c r="P146" s="67">
        <v>1117.4000000000001</v>
      </c>
      <c r="Q146" s="91">
        <f>SUMIFS($E146:$P146,$E$6:$P$6,Q$1)</f>
        <v>6891.2500000000009</v>
      </c>
      <c r="R146" s="91">
        <f>SUMIFS($E146:$P146,$E$6:$P$6,R$1)</f>
        <v>9309.1999999999989</v>
      </c>
      <c r="S146" s="91">
        <f t="shared" si="97"/>
        <v>16200.45</v>
      </c>
      <c r="T146" s="92">
        <f>D146-S146</f>
        <v>3668.5499999999993</v>
      </c>
      <c r="U146" s="1"/>
      <c r="V146" s="1"/>
      <c r="W146" s="1"/>
      <c r="X146" s="1"/>
    </row>
    <row r="147" spans="1:24" ht="12.75" customHeight="1">
      <c r="A147" s="1"/>
      <c r="B147" s="61" t="s">
        <v>93</v>
      </c>
      <c r="C147" s="68"/>
      <c r="D147" s="119">
        <f t="shared" ref="D147" si="98">SUM(D144:D146)</f>
        <v>239334.26</v>
      </c>
      <c r="E147" s="73">
        <f t="shared" ref="E147:T147" si="99">SUM(E144:E146)</f>
        <v>0</v>
      </c>
      <c r="F147" s="63">
        <f t="shared" si="99"/>
        <v>96397.7</v>
      </c>
      <c r="G147" s="63">
        <f t="shared" si="99"/>
        <v>38700.920000000006</v>
      </c>
      <c r="H147" s="63">
        <f t="shared" si="99"/>
        <v>-28069.43</v>
      </c>
      <c r="I147" s="63">
        <f t="shared" si="99"/>
        <v>20524.135440999999</v>
      </c>
      <c r="J147" s="63">
        <f t="shared" si="99"/>
        <v>21396.954624999998</v>
      </c>
      <c r="K147" s="63">
        <f t="shared" si="99"/>
        <v>17820.238569999998</v>
      </c>
      <c r="L147" s="63">
        <f t="shared" si="99"/>
        <v>17820.238569999998</v>
      </c>
      <c r="M147" s="63">
        <f t="shared" si="99"/>
        <v>15389.097694000002</v>
      </c>
      <c r="N147" s="63">
        <f t="shared" si="99"/>
        <v>15389.097694000002</v>
      </c>
      <c r="O147" s="63">
        <f t="shared" si="99"/>
        <v>15389.097694000002</v>
      </c>
      <c r="P147" s="63">
        <f t="shared" si="99"/>
        <v>15389.097694000002</v>
      </c>
      <c r="Q147" s="63">
        <f t="shared" si="99"/>
        <v>107029.19</v>
      </c>
      <c r="R147" s="63">
        <f t="shared" si="99"/>
        <v>139117.95798200002</v>
      </c>
      <c r="S147" s="63">
        <f t="shared" si="99"/>
        <v>246147.14798200005</v>
      </c>
      <c r="T147" s="63">
        <f t="shared" si="99"/>
        <v>-6812.8879820000202</v>
      </c>
      <c r="U147" s="1"/>
      <c r="V147" s="1"/>
      <c r="W147" s="1"/>
      <c r="X147" s="1"/>
    </row>
    <row r="148" spans="1:24" ht="12.75" customHeight="1">
      <c r="A148" s="1"/>
      <c r="B148" s="61"/>
      <c r="C148" s="68"/>
      <c r="D148" s="119"/>
      <c r="E148" s="7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1"/>
      <c r="V148" s="1"/>
      <c r="W148" s="1"/>
      <c r="X148" s="1"/>
    </row>
    <row r="149" spans="1:24" ht="12.75" customHeight="1">
      <c r="A149" s="1"/>
      <c r="B149" s="61" t="s">
        <v>94</v>
      </c>
      <c r="C149" s="62"/>
      <c r="D149" s="119">
        <v>190080.1</v>
      </c>
      <c r="E149" s="73"/>
      <c r="F149" s="69">
        <v>70861.08</v>
      </c>
      <c r="G149" s="69">
        <v>29067.65</v>
      </c>
      <c r="H149" s="69">
        <v>-20000.330000000002</v>
      </c>
      <c r="I149" s="69">
        <v>15499.417195228503</v>
      </c>
      <c r="J149" s="69">
        <v>16120.9167218125</v>
      </c>
      <c r="K149" s="69">
        <v>13404.923612445</v>
      </c>
      <c r="L149" s="69">
        <v>13404.923612445</v>
      </c>
      <c r="M149" s="69">
        <v>11504.648631718999</v>
      </c>
      <c r="N149" s="69">
        <v>11504.648631718999</v>
      </c>
      <c r="O149" s="69">
        <v>11504.648631718999</v>
      </c>
      <c r="P149" s="69">
        <v>11504.648631718999</v>
      </c>
      <c r="Q149" s="63">
        <f>SUMIFS($E149:$P149,$E$6:$P$6,Q$1)</f>
        <v>79928.400000000009</v>
      </c>
      <c r="R149" s="63">
        <f>SUMIFS($E149:$P149,$E$6:$P$6,R$1)</f>
        <v>104448.77566880699</v>
      </c>
      <c r="S149" s="63">
        <f>R149+Q149</f>
        <v>184377.175668807</v>
      </c>
      <c r="T149" s="63">
        <f>D149-S149</f>
        <v>5702.924331193004</v>
      </c>
      <c r="U149" s="1"/>
      <c r="V149" s="1"/>
      <c r="W149" s="1"/>
      <c r="X149" s="1"/>
    </row>
    <row r="150" spans="1:24" ht="12.75" customHeight="1">
      <c r="A150" s="1"/>
      <c r="B150" s="61"/>
      <c r="C150" s="62"/>
      <c r="D150" s="119"/>
      <c r="E150" s="7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1"/>
      <c r="V150" s="1"/>
      <c r="W150" s="1"/>
      <c r="X150" s="1"/>
    </row>
    <row r="151" spans="1:24" ht="12.75" customHeight="1">
      <c r="A151" s="1"/>
      <c r="B151" s="61" t="s">
        <v>95</v>
      </c>
      <c r="C151" s="62"/>
      <c r="D151" s="119">
        <f>SUM(D147:D150)*0.05</f>
        <v>21470.718000000001</v>
      </c>
      <c r="E151" s="73">
        <f t="shared" ref="E151:F151" si="100">SUM(E147:E150)*0.05</f>
        <v>0</v>
      </c>
      <c r="F151" s="63">
        <f t="shared" si="100"/>
        <v>8362.9390000000003</v>
      </c>
      <c r="G151" s="63">
        <v>-1644.1899999999953</v>
      </c>
      <c r="H151" s="63">
        <f>(H147+H149)*0.05</f>
        <v>-2403.4880000000003</v>
      </c>
      <c r="I151" s="63">
        <v>1801.1776318114353</v>
      </c>
      <c r="J151" s="63">
        <v>1875.8935673406304</v>
      </c>
      <c r="K151" s="63">
        <v>1561.2581091222528</v>
      </c>
      <c r="L151" s="63">
        <v>1561.2581091222528</v>
      </c>
      <c r="M151" s="63">
        <v>1344.6873162859483</v>
      </c>
      <c r="N151" s="63">
        <v>1400.7242679328519</v>
      </c>
      <c r="O151" s="63">
        <v>1400.7242679328519</v>
      </c>
      <c r="P151" s="63">
        <v>1400.7242679328519</v>
      </c>
      <c r="Q151" s="92">
        <f>SUMIFS($E151:$P151,$E$6:$P$6,Q$1)</f>
        <v>4315.261000000005</v>
      </c>
      <c r="R151" s="92">
        <f>SUMIFS($E151:$P151,$E$6:$P$6,R$1)</f>
        <v>12346.447537481075</v>
      </c>
      <c r="S151" s="92">
        <f t="shared" ref="S151" si="101">R151+Q151</f>
        <v>16661.708537481081</v>
      </c>
      <c r="T151" s="92">
        <f>D151-S151</f>
        <v>4809.0094625189195</v>
      </c>
      <c r="U151" s="1"/>
      <c r="V151" s="1"/>
      <c r="W151" s="1"/>
      <c r="X151" s="1"/>
    </row>
    <row r="152" spans="1:24" ht="12.75" customHeight="1">
      <c r="A152" s="1"/>
      <c r="B152" s="61"/>
      <c r="C152" s="68"/>
      <c r="D152" s="119"/>
      <c r="E152" s="7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1"/>
      <c r="V152" s="1"/>
      <c r="W152" s="1"/>
      <c r="X152" s="1"/>
    </row>
    <row r="153" spans="1:24" ht="12.75" customHeight="1">
      <c r="A153" s="1"/>
      <c r="B153" s="61" t="s">
        <v>96</v>
      </c>
      <c r="C153" s="62">
        <f t="shared" ref="C153" si="102">(SUM(E153:F153)/D153)</f>
        <v>0.3895035299803602</v>
      </c>
      <c r="D153" s="119">
        <f>D149+D147+D151+1</f>
        <v>450886.07799999998</v>
      </c>
      <c r="E153" s="73">
        <f t="shared" ref="E153:S153" si="103">E149+E147+E151</f>
        <v>0</v>
      </c>
      <c r="F153" s="63">
        <f t="shared" si="103"/>
        <v>175621.71900000001</v>
      </c>
      <c r="G153" s="63">
        <f t="shared" si="103"/>
        <v>66124.38</v>
      </c>
      <c r="H153" s="63">
        <f t="shared" si="103"/>
        <v>-50473.248</v>
      </c>
      <c r="I153" s="63">
        <f t="shared" si="103"/>
        <v>37824.730268039937</v>
      </c>
      <c r="J153" s="63">
        <f t="shared" si="103"/>
        <v>39393.764914153129</v>
      </c>
      <c r="K153" s="63">
        <f t="shared" si="103"/>
        <v>32786.42029156725</v>
      </c>
      <c r="L153" s="63">
        <f t="shared" si="103"/>
        <v>32786.42029156725</v>
      </c>
      <c r="M153" s="63">
        <f t="shared" si="103"/>
        <v>28238.433642004951</v>
      </c>
      <c r="N153" s="63">
        <f t="shared" si="103"/>
        <v>28294.470593651855</v>
      </c>
      <c r="O153" s="63">
        <f>O149+O147+O151</f>
        <v>28294.470593651855</v>
      </c>
      <c r="P153" s="63">
        <f t="shared" ref="P153" si="104">P149+P147+P151</f>
        <v>28294.470593651855</v>
      </c>
      <c r="Q153" s="63">
        <f t="shared" si="103"/>
        <v>191272.85100000002</v>
      </c>
      <c r="R153" s="63">
        <f t="shared" si="103"/>
        <v>255913.18118828809</v>
      </c>
      <c r="S153" s="63">
        <f t="shared" si="103"/>
        <v>447186.03218828811</v>
      </c>
      <c r="T153" s="63">
        <f>T149+T147+T151</f>
        <v>3699.0458117119033</v>
      </c>
      <c r="U153" s="1"/>
      <c r="V153" s="1"/>
      <c r="W153" s="1"/>
      <c r="X153" s="1"/>
    </row>
    <row r="154" spans="1:24" ht="29.25" customHeight="1">
      <c r="A154" s="1"/>
      <c r="B154" s="107" t="s">
        <v>97</v>
      </c>
      <c r="C154" s="62"/>
      <c r="D154" s="119"/>
      <c r="E154" s="7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1"/>
      <c r="V154" s="1"/>
      <c r="W154" s="1"/>
      <c r="X154" s="1"/>
    </row>
    <row r="155" spans="1:24" ht="12.75" customHeight="1">
      <c r="A155" s="1"/>
      <c r="B155" s="61" t="s">
        <v>98</v>
      </c>
      <c r="C155" s="64"/>
      <c r="D155" s="120"/>
      <c r="E155" s="74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1"/>
      <c r="V155" s="1"/>
      <c r="W155" s="1"/>
      <c r="X155" s="1"/>
    </row>
    <row r="156" spans="1:24" ht="12.75" customHeight="1">
      <c r="A156" s="1"/>
      <c r="B156" s="66" t="s">
        <v>30</v>
      </c>
      <c r="C156" s="62">
        <f t="shared" ref="C156:C158" si="105">(SUM(E156:F156)/D156)</f>
        <v>0.11949569266226474</v>
      </c>
      <c r="D156" s="121">
        <v>283826.13</v>
      </c>
      <c r="E156" s="70"/>
      <c r="F156" s="67">
        <v>33916</v>
      </c>
      <c r="G156" s="67">
        <v>50095.6</v>
      </c>
      <c r="H156" s="67">
        <v>86979.520000000004</v>
      </c>
      <c r="I156" s="67">
        <v>28374.279493999999</v>
      </c>
      <c r="J156" s="67">
        <v>28700.345431999995</v>
      </c>
      <c r="K156" s="67">
        <v>15892.680316</v>
      </c>
      <c r="L156" s="67">
        <v>12414.643644</v>
      </c>
      <c r="M156" s="67">
        <v>12414.643644</v>
      </c>
      <c r="N156" s="67">
        <v>8175.7864499999996</v>
      </c>
      <c r="O156" s="67">
        <v>8175.7864499999996</v>
      </c>
      <c r="P156" s="90">
        <v>8175.7864499999996</v>
      </c>
      <c r="Q156" s="91">
        <f>SUMIFS($E156:$P156,$E$6:$P$6,Q$1)</f>
        <v>170991.12</v>
      </c>
      <c r="R156" s="91">
        <f>SUMIFS($E156:$P156,$E$6:$P$6,R$1)</f>
        <v>122323.95187999998</v>
      </c>
      <c r="S156" s="91">
        <f t="shared" ref="S156:S158" si="106">R156+Q156</f>
        <v>293315.07187999994</v>
      </c>
      <c r="T156" s="92">
        <f>D156-S156</f>
        <v>-9488.9418799999403</v>
      </c>
      <c r="U156" s="1"/>
      <c r="V156" s="1"/>
      <c r="W156" s="1"/>
      <c r="X156" s="1"/>
    </row>
    <row r="157" spans="1:24" ht="12.75" customHeight="1">
      <c r="A157" s="1"/>
      <c r="B157" s="66" t="s">
        <v>31</v>
      </c>
      <c r="C157" s="62" t="e">
        <f t="shared" si="105"/>
        <v>#DIV/0!</v>
      </c>
      <c r="D157" s="121">
        <v>0</v>
      </c>
      <c r="E157" s="70"/>
      <c r="F157" s="67">
        <v>0</v>
      </c>
      <c r="G157" s="67">
        <v>0</v>
      </c>
      <c r="H157" s="67">
        <v>0</v>
      </c>
      <c r="I157" s="67">
        <v>0</v>
      </c>
      <c r="J157" s="67">
        <v>0</v>
      </c>
      <c r="K157" s="67">
        <v>0</v>
      </c>
      <c r="L157" s="67">
        <v>0</v>
      </c>
      <c r="M157" s="67">
        <v>0</v>
      </c>
      <c r="N157" s="67">
        <v>0</v>
      </c>
      <c r="O157" s="67">
        <v>0</v>
      </c>
      <c r="P157" s="67">
        <v>0</v>
      </c>
      <c r="Q157" s="91">
        <f>SUMIFS($E157:$P157,$E$6:$P$6,Q$1)</f>
        <v>0</v>
      </c>
      <c r="R157" s="91">
        <f>SUMIFS($E157:$P157,$E$6:$P$6,R$1)</f>
        <v>0</v>
      </c>
      <c r="S157" s="91">
        <f t="shared" si="106"/>
        <v>0</v>
      </c>
      <c r="T157" s="92">
        <f>D157-S157</f>
        <v>0</v>
      </c>
      <c r="U157" s="1"/>
      <c r="V157" s="1"/>
      <c r="W157" s="1"/>
      <c r="X157" s="1"/>
    </row>
    <row r="158" spans="1:24" ht="12.75" customHeight="1">
      <c r="A158" s="1"/>
      <c r="B158" s="66" t="s">
        <v>32</v>
      </c>
      <c r="C158" s="62">
        <f t="shared" si="105"/>
        <v>4.6078460458262874E-2</v>
      </c>
      <c r="D158" s="121">
        <v>303363</v>
      </c>
      <c r="E158" s="70"/>
      <c r="F158" s="67">
        <v>13978.5</v>
      </c>
      <c r="G158" s="67">
        <v>22214.2</v>
      </c>
      <c r="H158" s="67">
        <v>28047.71</v>
      </c>
      <c r="I158" s="67">
        <v>29343.599999999999</v>
      </c>
      <c r="J158" s="67">
        <v>29388</v>
      </c>
      <c r="K158" s="67">
        <v>28426</v>
      </c>
      <c r="L158" s="67">
        <v>27952.400000000001</v>
      </c>
      <c r="M158" s="67">
        <v>27952.400000000001</v>
      </c>
      <c r="N158" s="67">
        <v>27375.200000000001</v>
      </c>
      <c r="O158" s="67">
        <v>27375.200000000001</v>
      </c>
      <c r="P158" s="90">
        <v>34173.199999999997</v>
      </c>
      <c r="Q158" s="91">
        <f>SUMIFS($E158:$P158,$E$6:$P$6,Q$1)</f>
        <v>64240.409999999996</v>
      </c>
      <c r="R158" s="91">
        <f>SUMIFS($E158:$P158,$E$6:$P$6,R$1)</f>
        <v>231986</v>
      </c>
      <c r="S158" s="91">
        <f t="shared" si="106"/>
        <v>296226.40999999997</v>
      </c>
      <c r="T158" s="92">
        <f>D158-S158</f>
        <v>7136.5900000000256</v>
      </c>
      <c r="U158" s="1"/>
      <c r="V158" s="1"/>
      <c r="W158" s="1"/>
      <c r="X158" s="1"/>
    </row>
    <row r="159" spans="1:24" ht="12.75" customHeight="1">
      <c r="A159" s="1"/>
      <c r="B159" s="61" t="s">
        <v>99</v>
      </c>
      <c r="C159" s="68"/>
      <c r="D159" s="119">
        <f t="shared" ref="D159" si="107">SUM(D156:D158)</f>
        <v>587189.13</v>
      </c>
      <c r="E159" s="73">
        <f t="shared" ref="E159:T159" si="108">SUM(E156:E158)</f>
        <v>0</v>
      </c>
      <c r="F159" s="63">
        <f t="shared" si="108"/>
        <v>47894.5</v>
      </c>
      <c r="G159" s="63">
        <f t="shared" si="108"/>
        <v>72309.8</v>
      </c>
      <c r="H159" s="63">
        <f t="shared" si="108"/>
        <v>115027.23000000001</v>
      </c>
      <c r="I159" s="63">
        <f t="shared" si="108"/>
        <v>57717.879493999993</v>
      </c>
      <c r="J159" s="63">
        <f t="shared" si="108"/>
        <v>58088.345431999995</v>
      </c>
      <c r="K159" s="63">
        <f t="shared" si="108"/>
        <v>44318.680315999998</v>
      </c>
      <c r="L159" s="63">
        <f t="shared" si="108"/>
        <v>40367.043644000005</v>
      </c>
      <c r="M159" s="63">
        <f t="shared" si="108"/>
        <v>40367.043644000005</v>
      </c>
      <c r="N159" s="63">
        <f t="shared" si="108"/>
        <v>35550.986449999997</v>
      </c>
      <c r="O159" s="63">
        <f t="shared" si="108"/>
        <v>35550.986449999997</v>
      </c>
      <c r="P159" s="63">
        <f t="shared" si="108"/>
        <v>42348.986449999997</v>
      </c>
      <c r="Q159" s="63">
        <f t="shared" si="108"/>
        <v>235231.53</v>
      </c>
      <c r="R159" s="63">
        <f t="shared" si="108"/>
        <v>354309.95187999995</v>
      </c>
      <c r="S159" s="63">
        <f t="shared" si="108"/>
        <v>589541.48187999986</v>
      </c>
      <c r="T159" s="63">
        <f t="shared" si="108"/>
        <v>-2352.3518799999147</v>
      </c>
      <c r="U159" s="1"/>
      <c r="V159" s="1"/>
      <c r="W159" s="1"/>
      <c r="X159" s="1"/>
    </row>
    <row r="160" spans="1:24" ht="12.75" customHeight="1">
      <c r="A160" s="1"/>
      <c r="B160" s="61"/>
      <c r="C160" s="68"/>
      <c r="D160" s="119"/>
      <c r="E160" s="7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1"/>
      <c r="V160" s="1"/>
      <c r="W160" s="1"/>
      <c r="X160" s="1"/>
    </row>
    <row r="161" spans="1:24" ht="12.75" customHeight="1">
      <c r="A161" s="1"/>
      <c r="B161" s="61" t="s">
        <v>100</v>
      </c>
      <c r="C161" s="62"/>
      <c r="D161" s="119">
        <v>286837.05</v>
      </c>
      <c r="E161" s="73"/>
      <c r="F161" s="69">
        <v>29887.94</v>
      </c>
      <c r="G161" s="69">
        <v>44498.57</v>
      </c>
      <c r="H161" s="69">
        <v>74894.09</v>
      </c>
      <c r="I161" s="69">
        <v>27490.429381019003</v>
      </c>
      <c r="J161" s="69">
        <v>27757.522373132</v>
      </c>
      <c r="K161" s="69">
        <v>17442.228429166</v>
      </c>
      <c r="L161" s="69">
        <v>14593.236513293999</v>
      </c>
      <c r="M161" s="69">
        <v>14593.236513293999</v>
      </c>
      <c r="N161" s="69">
        <v>11121.027615825</v>
      </c>
      <c r="O161" s="69">
        <v>11121.027615825</v>
      </c>
      <c r="P161" s="93">
        <v>11165.577615824999</v>
      </c>
      <c r="Q161" s="63">
        <f>SUMIFS($E161:$P161,$E$6:$P$6,Q$1)</f>
        <v>149280.59999999998</v>
      </c>
      <c r="R161" s="63">
        <f>SUMIFS($E161:$P161,$E$6:$P$6,R$1)</f>
        <v>135284.28605738003</v>
      </c>
      <c r="S161" s="63">
        <f>R161+Q161</f>
        <v>284564.88605738</v>
      </c>
      <c r="T161" s="63">
        <f>D161-S161</f>
        <v>2272.1639426199836</v>
      </c>
      <c r="U161" s="1"/>
      <c r="V161" s="1"/>
      <c r="W161" s="1"/>
      <c r="X161" s="1"/>
    </row>
    <row r="162" spans="1:24" ht="12.75" customHeight="1">
      <c r="A162" s="1"/>
      <c r="B162" s="61"/>
      <c r="C162" s="62"/>
      <c r="D162" s="119"/>
      <c r="E162" s="7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1"/>
      <c r="V162" s="1"/>
      <c r="W162" s="1"/>
      <c r="X162" s="1"/>
    </row>
    <row r="163" spans="1:24" ht="12.75" customHeight="1">
      <c r="A163" s="1"/>
      <c r="B163" s="61" t="s">
        <v>101</v>
      </c>
      <c r="C163" s="62"/>
      <c r="D163" s="119">
        <f t="shared" ref="D163" si="109">SUM(D159:D162)*0.05</f>
        <v>43701.309000000001</v>
      </c>
      <c r="E163" s="73">
        <f t="shared" ref="E163:F163" si="110">SUM(E159:E162)*0.05</f>
        <v>0</v>
      </c>
      <c r="F163" s="63">
        <f t="shared" si="110"/>
        <v>3889.1220000000003</v>
      </c>
      <c r="G163" s="63">
        <f t="shared" ref="G163" si="111">SUM(G159:G162)*0.05</f>
        <v>5840.4184999999998</v>
      </c>
      <c r="H163" s="63">
        <f>(H159+H161)*0.05</f>
        <v>9496.0660000000007</v>
      </c>
      <c r="I163" s="63">
        <v>4260.4154437509569</v>
      </c>
      <c r="J163" s="63">
        <v>4292.2933902565856</v>
      </c>
      <c r="K163" s="63">
        <v>3088.0454372583044</v>
      </c>
      <c r="L163" s="63">
        <v>2748.0140078647091</v>
      </c>
      <c r="M163" s="63">
        <v>2748.0140078647091</v>
      </c>
      <c r="N163" s="63">
        <v>2333.600703291253</v>
      </c>
      <c r="O163" s="63">
        <v>2333.600703291253</v>
      </c>
      <c r="P163" s="63">
        <v>2675.7282032912553</v>
      </c>
      <c r="Q163" s="92">
        <f>SUMIFS($E163:$P163,$E$6:$P$6,Q$1)</f>
        <v>19225.606500000002</v>
      </c>
      <c r="R163" s="92">
        <f>SUMIFS($E163:$P163,$E$6:$P$6,R$1)</f>
        <v>24479.711896869027</v>
      </c>
      <c r="S163" s="92">
        <f t="shared" ref="S163" si="112">R163+Q163</f>
        <v>43705.318396869028</v>
      </c>
      <c r="T163" s="92">
        <f>D163-S163</f>
        <v>-4.009396869027114</v>
      </c>
      <c r="U163" s="1"/>
      <c r="V163" s="1"/>
      <c r="W163" s="1"/>
      <c r="X163" s="1"/>
    </row>
    <row r="164" spans="1:24" ht="12.75" customHeight="1">
      <c r="A164" s="1"/>
      <c r="B164" s="61"/>
      <c r="C164" s="68"/>
      <c r="D164" s="119"/>
      <c r="E164" s="7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1"/>
      <c r="V164" s="1"/>
      <c r="W164" s="1"/>
      <c r="X164" s="1"/>
    </row>
    <row r="165" spans="1:24" ht="12.75" customHeight="1">
      <c r="A165" s="1"/>
      <c r="B165" s="61" t="s">
        <v>102</v>
      </c>
      <c r="C165" s="62">
        <f t="shared" ref="C165" si="113">(SUM(E165:F165)/D165)</f>
        <v>8.8993261048542063E-2</v>
      </c>
      <c r="D165" s="119">
        <f>D161+D159+D163</f>
        <v>917727.48899999994</v>
      </c>
      <c r="E165" s="73">
        <f t="shared" ref="E165:S165" si="114">E161+E159+E163</f>
        <v>0</v>
      </c>
      <c r="F165" s="63">
        <f t="shared" si="114"/>
        <v>81671.562000000005</v>
      </c>
      <c r="G165" s="63">
        <f t="shared" si="114"/>
        <v>122648.7885</v>
      </c>
      <c r="H165" s="63">
        <f t="shared" si="114"/>
        <v>199417.386</v>
      </c>
      <c r="I165" s="63">
        <f t="shared" si="114"/>
        <v>89468.72431876995</v>
      </c>
      <c r="J165" s="63">
        <f t="shared" si="114"/>
        <v>90138.161195388588</v>
      </c>
      <c r="K165" s="63">
        <f t="shared" si="114"/>
        <v>64848.954182424306</v>
      </c>
      <c r="L165" s="63">
        <f t="shared" si="114"/>
        <v>57708.294165158717</v>
      </c>
      <c r="M165" s="63">
        <f t="shared" si="114"/>
        <v>57708.294165158717</v>
      </c>
      <c r="N165" s="63">
        <f t="shared" si="114"/>
        <v>49005.614769116248</v>
      </c>
      <c r="O165" s="63">
        <f t="shared" si="114"/>
        <v>49005.614769116248</v>
      </c>
      <c r="P165" s="63">
        <f t="shared" si="114"/>
        <v>56190.292269116253</v>
      </c>
      <c r="Q165" s="63">
        <f t="shared" si="114"/>
        <v>403737.7365</v>
      </c>
      <c r="R165" s="63">
        <f t="shared" si="114"/>
        <v>514073.94983424898</v>
      </c>
      <c r="S165" s="63">
        <f t="shared" si="114"/>
        <v>917811.68633424887</v>
      </c>
      <c r="T165" s="63">
        <f>T161+T159+T163</f>
        <v>-84.197334248958214</v>
      </c>
      <c r="U165" s="1"/>
      <c r="V165" s="1"/>
      <c r="W165" s="1"/>
      <c r="X165" s="1"/>
    </row>
    <row r="166" spans="1:24" ht="12.75" customHeight="1">
      <c r="A166" s="1"/>
      <c r="B166" s="14"/>
      <c r="C166" s="32"/>
      <c r="D166" s="115"/>
      <c r="E166" s="75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1"/>
      <c r="V166" s="1"/>
      <c r="W166" s="1"/>
      <c r="X166" s="1"/>
    </row>
    <row r="167" spans="1:24" ht="24" customHeight="1">
      <c r="A167" s="1"/>
      <c r="B167" s="107" t="s">
        <v>103</v>
      </c>
      <c r="C167" s="62"/>
      <c r="D167" s="119"/>
      <c r="E167" s="7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1"/>
      <c r="V167" s="1"/>
      <c r="W167" s="1"/>
      <c r="X167" s="1"/>
    </row>
    <row r="168" spans="1:24" ht="12.75" customHeight="1">
      <c r="A168" s="1"/>
      <c r="B168" s="61" t="s">
        <v>104</v>
      </c>
      <c r="C168" s="64"/>
      <c r="D168" s="120"/>
      <c r="E168" s="74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1"/>
      <c r="V168" s="1"/>
      <c r="W168" s="1"/>
      <c r="X168" s="1"/>
    </row>
    <row r="169" spans="1:24" ht="12.75" customHeight="1">
      <c r="A169" s="1"/>
      <c r="B169" s="66" t="s">
        <v>30</v>
      </c>
      <c r="C169" s="62">
        <f t="shared" ref="C169:C171" si="115">(SUM(E169:F169)/D169)</f>
        <v>0.23736359215096528</v>
      </c>
      <c r="D169" s="121">
        <v>289921</v>
      </c>
      <c r="E169" s="70"/>
      <c r="F169" s="67">
        <v>68816.69</v>
      </c>
      <c r="G169" s="67">
        <v>38922.36</v>
      </c>
      <c r="H169" s="67">
        <v>27364.54</v>
      </c>
      <c r="I169" s="67">
        <v>30949.918078999995</v>
      </c>
      <c r="J169" s="67">
        <v>25079.690578999998</v>
      </c>
      <c r="K169" s="67">
        <v>25079.690578999998</v>
      </c>
      <c r="L169" s="67">
        <v>23514.296579000002</v>
      </c>
      <c r="M169" s="67">
        <v>15789.183873</v>
      </c>
      <c r="N169" s="67">
        <v>13318.172342999998</v>
      </c>
      <c r="O169" s="67">
        <v>12033.993194999999</v>
      </c>
      <c r="P169" s="90">
        <v>10907.61205</v>
      </c>
      <c r="Q169" s="91">
        <f>SUMIFS($E169:$P169,$E$6:$P$6,Q$1)</f>
        <v>135103.59</v>
      </c>
      <c r="R169" s="91">
        <f>SUMIFS($E169:$P169,$E$6:$P$6,R$1)</f>
        <v>156672.55727699999</v>
      </c>
      <c r="S169" s="91">
        <f t="shared" ref="S169:S171" si="116">R169+Q169</f>
        <v>291776.14727700001</v>
      </c>
      <c r="T169" s="92">
        <f>D169-S169</f>
        <v>-1855.1472770000109</v>
      </c>
      <c r="U169" s="1"/>
      <c r="V169" s="1"/>
      <c r="W169" s="1"/>
      <c r="X169" s="1"/>
    </row>
    <row r="170" spans="1:24" ht="12.75" customHeight="1">
      <c r="A170" s="1"/>
      <c r="B170" s="66" t="s">
        <v>31</v>
      </c>
      <c r="C170" s="62" t="e">
        <f t="shared" si="115"/>
        <v>#DIV/0!</v>
      </c>
      <c r="D170" s="121">
        <v>0</v>
      </c>
      <c r="E170" s="70">
        <v>0</v>
      </c>
      <c r="F170" s="67">
        <v>2833.27</v>
      </c>
      <c r="G170" s="67">
        <v>0</v>
      </c>
      <c r="H170" s="67">
        <v>0</v>
      </c>
      <c r="I170" s="67">
        <v>0</v>
      </c>
      <c r="J170" s="67">
        <v>0</v>
      </c>
      <c r="K170" s="67">
        <v>0</v>
      </c>
      <c r="L170" s="67">
        <v>0</v>
      </c>
      <c r="M170" s="67">
        <v>0</v>
      </c>
      <c r="N170" s="67">
        <v>0</v>
      </c>
      <c r="O170" s="67">
        <v>0</v>
      </c>
      <c r="P170" s="67">
        <v>0</v>
      </c>
      <c r="Q170" s="91">
        <f>SUMIFS($E170:$P170,$E$6:$P$6,Q$1)</f>
        <v>2833.27</v>
      </c>
      <c r="R170" s="91">
        <f>SUMIFS($E170:$P170,$E$6:$P$6,R$1)</f>
        <v>0</v>
      </c>
      <c r="S170" s="91">
        <f t="shared" si="116"/>
        <v>2833.27</v>
      </c>
      <c r="T170" s="92">
        <f>D170-S170</f>
        <v>-2833.27</v>
      </c>
      <c r="U170" s="1"/>
      <c r="V170" s="1"/>
      <c r="W170" s="1"/>
      <c r="X170" s="1"/>
    </row>
    <row r="171" spans="1:24" ht="12.75" customHeight="1">
      <c r="A171" s="1"/>
      <c r="B171" s="66" t="s">
        <v>32</v>
      </c>
      <c r="C171" s="62">
        <f t="shared" si="115"/>
        <v>0.23444121147996294</v>
      </c>
      <c r="D171" s="121">
        <v>30244</v>
      </c>
      <c r="E171" s="70">
        <v>0</v>
      </c>
      <c r="F171" s="67">
        <v>7090.44</v>
      </c>
      <c r="G171" s="67">
        <v>3796.2</v>
      </c>
      <c r="H171" s="67">
        <v>2775</v>
      </c>
      <c r="I171" s="67">
        <v>2967.4</v>
      </c>
      <c r="J171" s="67">
        <v>2523.4</v>
      </c>
      <c r="K171" s="67">
        <v>2523.4</v>
      </c>
      <c r="L171" s="67">
        <v>2405</v>
      </c>
      <c r="M171" s="67">
        <v>1561.4</v>
      </c>
      <c r="N171" s="67">
        <v>1339.4</v>
      </c>
      <c r="O171" s="67">
        <v>1221</v>
      </c>
      <c r="P171" s="90">
        <v>1110</v>
      </c>
      <c r="Q171" s="91">
        <f>SUMIFS($E171:$P171,$E$6:$P$6,Q$1)</f>
        <v>13661.64</v>
      </c>
      <c r="R171" s="91">
        <f>SUMIFS($E171:$P171,$E$6:$P$6,R$1)</f>
        <v>15651</v>
      </c>
      <c r="S171" s="91">
        <f t="shared" si="116"/>
        <v>29312.639999999999</v>
      </c>
      <c r="T171" s="92">
        <f>D171-S171</f>
        <v>931.36000000000058</v>
      </c>
      <c r="U171" s="1"/>
      <c r="V171" s="1"/>
      <c r="W171" s="1"/>
      <c r="X171" s="1"/>
    </row>
    <row r="172" spans="1:24" ht="12.75" customHeight="1">
      <c r="A172" s="1"/>
      <c r="B172" s="61" t="s">
        <v>105</v>
      </c>
      <c r="C172" s="68"/>
      <c r="D172" s="119">
        <f t="shared" ref="D172" si="117">SUM(D169:D171)</f>
        <v>320165</v>
      </c>
      <c r="E172" s="73">
        <f t="shared" ref="E172:P172" si="118">SUM(E169:E171)</f>
        <v>0</v>
      </c>
      <c r="F172" s="63">
        <f t="shared" si="118"/>
        <v>78740.400000000009</v>
      </c>
      <c r="G172" s="63">
        <f t="shared" si="118"/>
        <v>42718.559999999998</v>
      </c>
      <c r="H172" s="63">
        <f t="shared" si="118"/>
        <v>30139.54</v>
      </c>
      <c r="I172" s="63">
        <f t="shared" si="118"/>
        <v>33917.318078999997</v>
      </c>
      <c r="J172" s="63">
        <f t="shared" si="118"/>
        <v>27603.090579</v>
      </c>
      <c r="K172" s="63">
        <f t="shared" si="118"/>
        <v>27603.090579</v>
      </c>
      <c r="L172" s="63">
        <f t="shared" si="118"/>
        <v>25919.296579000002</v>
      </c>
      <c r="M172" s="63">
        <f t="shared" si="118"/>
        <v>17350.583873</v>
      </c>
      <c r="N172" s="63">
        <f t="shared" si="118"/>
        <v>14657.572342999998</v>
      </c>
      <c r="O172" s="63">
        <f t="shared" si="118"/>
        <v>13254.993194999999</v>
      </c>
      <c r="P172" s="63">
        <f t="shared" si="118"/>
        <v>12017.61205</v>
      </c>
      <c r="Q172" s="63">
        <f t="shared" ref="Q172:T172" si="119">SUM(Q169:Q171)</f>
        <v>151598.5</v>
      </c>
      <c r="R172" s="63">
        <f t="shared" si="119"/>
        <v>172323.55727699999</v>
      </c>
      <c r="S172" s="63">
        <f t="shared" si="119"/>
        <v>323922.05727700004</v>
      </c>
      <c r="T172" s="63">
        <f t="shared" si="119"/>
        <v>-3757.0572770000108</v>
      </c>
      <c r="U172" s="1"/>
      <c r="V172" s="1"/>
      <c r="W172" s="1"/>
      <c r="X172" s="1"/>
    </row>
    <row r="173" spans="1:24" ht="12.75" customHeight="1">
      <c r="A173" s="1"/>
      <c r="B173" s="61"/>
      <c r="C173" s="68"/>
      <c r="D173" s="119"/>
      <c r="E173" s="7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1"/>
      <c r="V173" s="1"/>
      <c r="W173" s="1"/>
      <c r="X173" s="1"/>
    </row>
    <row r="174" spans="1:24" ht="12.75" customHeight="1">
      <c r="A174" s="1"/>
      <c r="B174" s="61" t="s">
        <v>106</v>
      </c>
      <c r="C174" s="62"/>
      <c r="D174" s="119">
        <v>251903</v>
      </c>
      <c r="E174" s="73">
        <v>0</v>
      </c>
      <c r="F174" s="69">
        <v>56494.82</v>
      </c>
      <c r="G174" s="69">
        <v>31544.440000000002</v>
      </c>
      <c r="H174" s="69">
        <v>22201.32</v>
      </c>
      <c r="I174" s="69">
        <v>25071.675405291498</v>
      </c>
      <c r="J174" s="69">
        <v>20343.101021541501</v>
      </c>
      <c r="K174" s="69">
        <v>20343.101021541501</v>
      </c>
      <c r="L174" s="69">
        <v>19082.1478525415</v>
      </c>
      <c r="M174" s="69">
        <v>12801.086483860501</v>
      </c>
      <c r="N174" s="69">
        <v>10802.743892455499</v>
      </c>
      <c r="O174" s="69">
        <v>9763.5286342575</v>
      </c>
      <c r="P174" s="93">
        <v>8850.4021014250011</v>
      </c>
      <c r="Q174" s="63">
        <f>SUMIFS($E174:$P174,$E$6:$P$6,Q$1)</f>
        <v>110240.58000000002</v>
      </c>
      <c r="R174" s="63">
        <f>SUMIFS($E174:$P174,$E$6:$P$6,R$1)</f>
        <v>127057.7864129145</v>
      </c>
      <c r="S174" s="63">
        <f>R174+Q174</f>
        <v>237298.36641291453</v>
      </c>
      <c r="T174" s="63">
        <f>D174-S174</f>
        <v>14604.633587085467</v>
      </c>
      <c r="U174" s="1"/>
      <c r="V174" s="1"/>
      <c r="W174" s="1"/>
      <c r="X174" s="1"/>
    </row>
    <row r="175" spans="1:24" ht="12.75" customHeight="1">
      <c r="A175" s="1"/>
      <c r="B175" s="61"/>
      <c r="C175" s="62"/>
      <c r="D175" s="119"/>
      <c r="E175" s="7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1"/>
      <c r="V175" s="1"/>
      <c r="W175" s="1"/>
      <c r="X175" s="1"/>
    </row>
    <row r="176" spans="1:24" ht="12.75" customHeight="1">
      <c r="A176" s="1"/>
      <c r="B176" s="61" t="s">
        <v>107</v>
      </c>
      <c r="C176" s="62"/>
      <c r="D176" s="119">
        <f t="shared" ref="D176" si="120">SUM(D172:D175)*0.05</f>
        <v>28603.4</v>
      </c>
      <c r="E176" s="73">
        <f t="shared" ref="E176:F176" si="121">SUM(E172:E175)*0.05</f>
        <v>0</v>
      </c>
      <c r="F176" s="63">
        <f t="shared" si="121"/>
        <v>6761.7610000000004</v>
      </c>
      <c r="G176" s="63">
        <f t="shared" ref="G176" si="122">SUM(G172:G175)*0.05</f>
        <v>3713.15</v>
      </c>
      <c r="H176" s="63">
        <f>(H172+H174)*0.05</f>
        <v>2617.0430000000001</v>
      </c>
      <c r="I176" s="63">
        <v>2949.4496742145711</v>
      </c>
      <c r="J176" s="63">
        <v>2397.3095800270821</v>
      </c>
      <c r="K176" s="63">
        <v>2397.3095800270821</v>
      </c>
      <c r="L176" s="63">
        <v>2250.0722215770729</v>
      </c>
      <c r="M176" s="63">
        <v>1507.5835178430279</v>
      </c>
      <c r="N176" s="63">
        <v>1273.0158117727769</v>
      </c>
      <c r="O176" s="63">
        <v>1150.9260914628721</v>
      </c>
      <c r="P176" s="63">
        <v>1043.400707571247</v>
      </c>
      <c r="Q176" s="92">
        <f>SUMIFS($E176:$P176,$E$6:$P$6,Q$1)</f>
        <v>13091.954</v>
      </c>
      <c r="R176" s="92">
        <f>SUMIFS($E176:$P176,$E$6:$P$6,R$1)</f>
        <v>14969.067184495732</v>
      </c>
      <c r="S176" s="92">
        <f t="shared" ref="S176" si="123">R176+Q176</f>
        <v>28061.02118449573</v>
      </c>
      <c r="T176" s="92">
        <f>D176-S176</f>
        <v>542.37881550427119</v>
      </c>
      <c r="U176" s="1"/>
      <c r="V176" s="1"/>
      <c r="W176" s="1"/>
      <c r="X176" s="1"/>
    </row>
    <row r="177" spans="1:24" ht="12.75" customHeight="1">
      <c r="A177" s="1"/>
      <c r="B177" s="61"/>
      <c r="C177" s="68"/>
      <c r="D177" s="119"/>
      <c r="E177" s="7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1"/>
      <c r="V177" s="1"/>
      <c r="W177" s="1"/>
      <c r="X177" s="1"/>
    </row>
    <row r="178" spans="1:24" ht="12.75" customHeight="1">
      <c r="A178" s="1"/>
      <c r="B178" s="61" t="s">
        <v>108</v>
      </c>
      <c r="C178" s="62">
        <f t="shared" ref="C178" si="124">(SUM(E178:F178)/D178)</f>
        <v>0.23639710663767244</v>
      </c>
      <c r="D178" s="119">
        <f>D174+D172+D176</f>
        <v>600671.4</v>
      </c>
      <c r="E178" s="73">
        <f t="shared" ref="E178:P178" si="125">E174+E172+E176</f>
        <v>0</v>
      </c>
      <c r="F178" s="63">
        <f t="shared" si="125"/>
        <v>141996.981</v>
      </c>
      <c r="G178" s="63">
        <f t="shared" si="125"/>
        <v>77976.149999999994</v>
      </c>
      <c r="H178" s="63">
        <f t="shared" si="125"/>
        <v>54957.902999999998</v>
      </c>
      <c r="I178" s="63">
        <f t="shared" si="125"/>
        <v>61938.443158506067</v>
      </c>
      <c r="J178" s="63">
        <f t="shared" si="125"/>
        <v>50343.501180568579</v>
      </c>
      <c r="K178" s="63">
        <f t="shared" si="125"/>
        <v>50343.501180568579</v>
      </c>
      <c r="L178" s="63">
        <f t="shared" si="125"/>
        <v>47251.516653118575</v>
      </c>
      <c r="M178" s="63">
        <f t="shared" si="125"/>
        <v>31659.253874703529</v>
      </c>
      <c r="N178" s="63">
        <f t="shared" si="125"/>
        <v>26733.332047228272</v>
      </c>
      <c r="O178" s="63">
        <f t="shared" si="125"/>
        <v>24169.447920720373</v>
      </c>
      <c r="P178" s="63">
        <f t="shared" si="125"/>
        <v>21911.414858996246</v>
      </c>
      <c r="Q178" s="63">
        <f t="shared" ref="Q178:S178" si="126">Q174+Q172+Q176</f>
        <v>274931.03400000004</v>
      </c>
      <c r="R178" s="63">
        <f t="shared" si="126"/>
        <v>314350.41087441024</v>
      </c>
      <c r="S178" s="63">
        <f t="shared" si="126"/>
        <v>589281.4448744104</v>
      </c>
      <c r="T178" s="63">
        <f>T174+T172+T176</f>
        <v>11389.955125589728</v>
      </c>
      <c r="U178" s="1"/>
      <c r="V178" s="1"/>
      <c r="W178" s="1"/>
      <c r="X178" s="1"/>
    </row>
    <row r="179" spans="1:24" ht="12.75" customHeight="1">
      <c r="A179" s="1"/>
      <c r="B179" s="14"/>
      <c r="C179" s="32"/>
      <c r="D179" s="115"/>
      <c r="E179" s="75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1"/>
      <c r="V179" s="1"/>
      <c r="W179" s="1"/>
      <c r="X179" s="1"/>
    </row>
    <row r="180" spans="1:24" ht="12.75" customHeight="1">
      <c r="A180" s="1"/>
      <c r="B180" s="107" t="s">
        <v>109</v>
      </c>
      <c r="C180" s="62"/>
      <c r="D180" s="119"/>
      <c r="E180" s="7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1"/>
      <c r="V180" s="1"/>
      <c r="W180" s="1"/>
      <c r="X180" s="1"/>
    </row>
    <row r="181" spans="1:24" ht="12.75" customHeight="1">
      <c r="A181" s="1"/>
      <c r="B181" s="61" t="s">
        <v>110</v>
      </c>
      <c r="C181" s="64"/>
      <c r="D181" s="120"/>
      <c r="E181" s="74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1"/>
      <c r="V181" s="1"/>
      <c r="W181" s="1"/>
      <c r="X181" s="1"/>
    </row>
    <row r="182" spans="1:24" ht="12.75" customHeight="1">
      <c r="A182" s="1"/>
      <c r="B182" s="66" t="s">
        <v>30</v>
      </c>
      <c r="C182" s="62">
        <f t="shared" ref="C182:C184" si="127">(SUM(E182:F182)/D182)</f>
        <v>0.33927337905173088</v>
      </c>
      <c r="D182" s="121">
        <v>595940.98</v>
      </c>
      <c r="E182" s="70"/>
      <c r="F182" s="67">
        <f>170526.28+21248.74+10411.89</f>
        <v>202186.90999999997</v>
      </c>
      <c r="G182" s="67">
        <v>97299.93</v>
      </c>
      <c r="H182" s="67">
        <v>77978.45</v>
      </c>
      <c r="I182" s="67">
        <v>62576.420275000004</v>
      </c>
      <c r="J182" s="67">
        <v>47437.789622999997</v>
      </c>
      <c r="K182" s="67">
        <v>39618.220452999994</v>
      </c>
      <c r="L182" s="67">
        <v>31144.290814</v>
      </c>
      <c r="M182" s="67">
        <v>17841.101166</v>
      </c>
      <c r="N182" s="67">
        <v>9776.1060499999985</v>
      </c>
      <c r="O182" s="67">
        <v>9090.8192899999995</v>
      </c>
      <c r="P182" s="90">
        <v>10232.963889999999</v>
      </c>
      <c r="Q182" s="91">
        <f>SUMIFS($E182:$P182,$E$6:$P$6,Q$1)</f>
        <v>377465.29</v>
      </c>
      <c r="R182" s="91">
        <f>SUMIFS($E182:$P182,$E$6:$P$6,R$1)</f>
        <v>227717.71156100003</v>
      </c>
      <c r="S182" s="91">
        <f t="shared" ref="S182:S184" si="128">R182+Q182</f>
        <v>605183.00156100001</v>
      </c>
      <c r="T182" s="92">
        <f>D182-S182</f>
        <v>-9242.0215610000305</v>
      </c>
      <c r="U182" s="1"/>
      <c r="V182" s="1"/>
      <c r="W182" s="1"/>
      <c r="X182" s="1"/>
    </row>
    <row r="183" spans="1:24" ht="12.75" customHeight="1">
      <c r="A183" s="1"/>
      <c r="B183" s="66" t="s">
        <v>31</v>
      </c>
      <c r="C183" s="62" t="e">
        <f t="shared" si="127"/>
        <v>#DIV/0!</v>
      </c>
      <c r="D183" s="121"/>
      <c r="E183" s="70">
        <v>0</v>
      </c>
      <c r="F183" s="67">
        <v>0</v>
      </c>
      <c r="G183" s="67">
        <v>0</v>
      </c>
      <c r="H183" s="67">
        <v>0</v>
      </c>
      <c r="I183" s="67">
        <v>0</v>
      </c>
      <c r="J183" s="67">
        <v>0</v>
      </c>
      <c r="K183" s="67">
        <v>0</v>
      </c>
      <c r="L183" s="67">
        <v>0</v>
      </c>
      <c r="M183" s="67">
        <v>0</v>
      </c>
      <c r="N183" s="67">
        <v>0</v>
      </c>
      <c r="O183" s="67">
        <v>0</v>
      </c>
      <c r="P183" s="67">
        <v>0</v>
      </c>
      <c r="Q183" s="91">
        <f>SUMIFS($E183:$P183,$E$6:$P$6,Q$1)</f>
        <v>0</v>
      </c>
      <c r="R183" s="91">
        <f>SUMIFS($E183:$P183,$E$6:$P$6,R$1)</f>
        <v>0</v>
      </c>
      <c r="S183" s="91">
        <f t="shared" si="128"/>
        <v>0</v>
      </c>
      <c r="T183" s="92">
        <f>D183-S183</f>
        <v>0</v>
      </c>
      <c r="U183" s="1"/>
      <c r="V183" s="1"/>
      <c r="W183" s="1"/>
      <c r="X183" s="1"/>
    </row>
    <row r="184" spans="1:24" ht="12.75" customHeight="1">
      <c r="A184" s="1"/>
      <c r="B184" s="66" t="s">
        <v>32</v>
      </c>
      <c r="C184" s="62">
        <f t="shared" si="127"/>
        <v>0.36009413820405711</v>
      </c>
      <c r="D184" s="121">
        <v>45783.75</v>
      </c>
      <c r="E184" s="70">
        <v>0</v>
      </c>
      <c r="F184" s="67">
        <f>13888.32+2598.14</f>
        <v>16486.46</v>
      </c>
      <c r="G184" s="67">
        <v>7568.35</v>
      </c>
      <c r="H184" s="67">
        <v>5877.45</v>
      </c>
      <c r="I184" s="67">
        <v>4847</v>
      </c>
      <c r="J184" s="67">
        <v>3885</v>
      </c>
      <c r="K184" s="67">
        <v>3300.4000000000005</v>
      </c>
      <c r="L184" s="67">
        <v>2715.8</v>
      </c>
      <c r="M184" s="67">
        <v>1317.2</v>
      </c>
      <c r="N184" s="67">
        <v>636.4</v>
      </c>
      <c r="O184" s="67">
        <v>592</v>
      </c>
      <c r="P184" s="90">
        <v>666</v>
      </c>
      <c r="Q184" s="91">
        <f>SUMIFS($E184:$P184,$E$6:$P$6,Q$1)</f>
        <v>29932.26</v>
      </c>
      <c r="R184" s="91">
        <f>SUMIFS($E184:$P184,$E$6:$P$6,R$1)</f>
        <v>17959.800000000003</v>
      </c>
      <c r="S184" s="91">
        <f t="shared" si="128"/>
        <v>47892.06</v>
      </c>
      <c r="T184" s="92">
        <f>D184-S184</f>
        <v>-2108.3099999999977</v>
      </c>
      <c r="U184" s="1"/>
      <c r="V184" s="1"/>
      <c r="W184" s="1"/>
      <c r="X184" s="1"/>
    </row>
    <row r="185" spans="1:24" ht="12.75" customHeight="1">
      <c r="A185" s="1"/>
      <c r="B185" s="61" t="s">
        <v>111</v>
      </c>
      <c r="C185" s="68"/>
      <c r="D185" s="119">
        <f t="shared" ref="D185" si="129">SUM(D182:D184)</f>
        <v>641724.73</v>
      </c>
      <c r="E185" s="73">
        <f t="shared" ref="E185:P185" si="130">SUM(E182:E184)</f>
        <v>0</v>
      </c>
      <c r="F185" s="63">
        <f t="shared" si="130"/>
        <v>218673.36999999997</v>
      </c>
      <c r="G185" s="63">
        <f t="shared" si="130"/>
        <v>104868.28</v>
      </c>
      <c r="H185" s="63">
        <f t="shared" si="130"/>
        <v>83855.899999999994</v>
      </c>
      <c r="I185" s="63">
        <f t="shared" si="130"/>
        <v>67423.420275000011</v>
      </c>
      <c r="J185" s="63">
        <f t="shared" si="130"/>
        <v>51322.789622999997</v>
      </c>
      <c r="K185" s="63">
        <f t="shared" si="130"/>
        <v>42918.620452999996</v>
      </c>
      <c r="L185" s="63">
        <f t="shared" si="130"/>
        <v>33860.090814000003</v>
      </c>
      <c r="M185" s="63">
        <f t="shared" si="130"/>
        <v>19158.301166000001</v>
      </c>
      <c r="N185" s="63">
        <f t="shared" si="130"/>
        <v>10412.506049999998</v>
      </c>
      <c r="O185" s="63">
        <f t="shared" si="130"/>
        <v>9682.8192899999995</v>
      </c>
      <c r="P185" s="63">
        <f t="shared" si="130"/>
        <v>10898.963889999999</v>
      </c>
      <c r="Q185" s="63">
        <f t="shared" ref="Q185:T185" si="131">SUM(Q182:Q184)</f>
        <v>407397.55</v>
      </c>
      <c r="R185" s="63">
        <f t="shared" si="131"/>
        <v>245677.51156100002</v>
      </c>
      <c r="S185" s="63">
        <f t="shared" si="131"/>
        <v>653075.06156100007</v>
      </c>
      <c r="T185" s="63">
        <f t="shared" si="131"/>
        <v>-11350.331561000028</v>
      </c>
      <c r="U185" s="1"/>
      <c r="V185" s="1"/>
      <c r="W185" s="1"/>
      <c r="X185" s="1"/>
    </row>
    <row r="186" spans="1:24" ht="12.75" customHeight="1">
      <c r="A186" s="1"/>
      <c r="B186" s="61"/>
      <c r="C186" s="68"/>
      <c r="D186" s="119"/>
      <c r="E186" s="7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1"/>
      <c r="V186" s="1"/>
      <c r="W186" s="1"/>
      <c r="X186" s="1"/>
    </row>
    <row r="187" spans="1:24" ht="12.75" customHeight="1">
      <c r="A187" s="1"/>
      <c r="B187" s="61" t="s">
        <v>112</v>
      </c>
      <c r="C187" s="62"/>
      <c r="D187" s="119">
        <v>514514.71</v>
      </c>
      <c r="E187" s="73">
        <v>0</v>
      </c>
      <c r="F187" s="69">
        <f>137584.85+14563.89+10985.1</f>
        <v>163133.84</v>
      </c>
      <c r="G187" s="69">
        <v>78423.87</v>
      </c>
      <c r="H187" s="69">
        <v>62808.44</v>
      </c>
      <c r="I187" s="69">
        <v>50432.082386837501</v>
      </c>
      <c r="J187" s="69">
        <v>38278.822117735501</v>
      </c>
      <c r="K187" s="69">
        <v>31981.556827190503</v>
      </c>
      <c r="L187" s="69">
        <v>25168.328306839001</v>
      </c>
      <c r="M187" s="69">
        <v>14364.078269391001</v>
      </c>
      <c r="N187" s="69">
        <v>7851.6496204250006</v>
      </c>
      <c r="O187" s="69">
        <v>7301.311010165</v>
      </c>
      <c r="P187" s="93">
        <v>8218.5420272650008</v>
      </c>
      <c r="Q187" s="63">
        <f>SUMIFS($E187:$P187,$E$6:$P$6,Q$1)</f>
        <v>304366.15000000002</v>
      </c>
      <c r="R187" s="63">
        <f>SUMIFS($E187:$P187,$E$6:$P$6,R$1)</f>
        <v>183596.37056584854</v>
      </c>
      <c r="S187" s="63">
        <f>R187+Q187</f>
        <v>487962.52056584856</v>
      </c>
      <c r="T187" s="63">
        <f>D187-S187</f>
        <v>26552.189434151456</v>
      </c>
      <c r="U187" s="1"/>
      <c r="V187" s="1"/>
      <c r="W187" s="1"/>
      <c r="X187" s="1"/>
    </row>
    <row r="188" spans="1:24" ht="12.75" customHeight="1">
      <c r="A188" s="1"/>
      <c r="B188" s="61"/>
      <c r="C188" s="62"/>
      <c r="D188" s="119"/>
      <c r="E188" s="7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1"/>
      <c r="V188" s="1"/>
      <c r="W188" s="1"/>
      <c r="X188" s="1"/>
    </row>
    <row r="189" spans="1:24" ht="12.75" customHeight="1">
      <c r="A189" s="1"/>
      <c r="B189" s="61" t="s">
        <v>113</v>
      </c>
      <c r="C189" s="62"/>
      <c r="D189" s="119">
        <f>SUM(D185:D188)*0.05</f>
        <v>57811.972000000002</v>
      </c>
      <c r="E189" s="73">
        <f t="shared" ref="E189:F189" si="132">SUM(E185:E188)*0.05</f>
        <v>0</v>
      </c>
      <c r="F189" s="63">
        <f t="shared" si="132"/>
        <v>19090.360499999999</v>
      </c>
      <c r="G189" s="63">
        <f t="shared" ref="G189" si="133">SUM(G185:G188)*0.05</f>
        <v>9164.6075000000001</v>
      </c>
      <c r="H189" s="63">
        <f>(H185+H187)*0.05</f>
        <v>7333.2170000000006</v>
      </c>
      <c r="I189" s="63">
        <v>5892.7751330918691</v>
      </c>
      <c r="J189" s="63">
        <v>4480.0805870367767</v>
      </c>
      <c r="K189" s="63">
        <v>3745.0088640095346</v>
      </c>
      <c r="L189" s="63">
        <v>2951.4209560419549</v>
      </c>
      <c r="M189" s="63">
        <v>1676.1189717695524</v>
      </c>
      <c r="N189" s="63">
        <v>913.20778352124762</v>
      </c>
      <c r="O189" s="63">
        <v>849.20651500824897</v>
      </c>
      <c r="P189" s="63">
        <v>955.875295863254</v>
      </c>
      <c r="Q189" s="92">
        <f>SUMIFS($E189:$P189,$E$6:$P$6,Q$1)</f>
        <v>35588.184999999998</v>
      </c>
      <c r="R189" s="92">
        <f>SUMIFS($E189:$P189,$E$6:$P$6,R$1)</f>
        <v>21463.694106342438</v>
      </c>
      <c r="S189" s="92">
        <f t="shared" ref="S189" si="134">R189+Q189</f>
        <v>57051.879106342436</v>
      </c>
      <c r="T189" s="92">
        <f>D189-S189</f>
        <v>760.09289365756558</v>
      </c>
      <c r="U189" s="1"/>
      <c r="V189" s="1"/>
      <c r="W189" s="1"/>
      <c r="X189" s="1"/>
    </row>
    <row r="190" spans="1:24" ht="12.75" customHeight="1">
      <c r="A190" s="1"/>
      <c r="B190" s="61"/>
      <c r="C190" s="68"/>
      <c r="D190" s="119"/>
      <c r="E190" s="7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1"/>
      <c r="V190" s="1"/>
      <c r="W190" s="1"/>
      <c r="X190" s="1"/>
    </row>
    <row r="191" spans="1:24" ht="12.75" customHeight="1">
      <c r="A191" s="1"/>
      <c r="B191" s="61" t="s">
        <v>114</v>
      </c>
      <c r="C191" s="62">
        <f t="shared" ref="C191" si="135">(SUM(E191:F191)/D191)</f>
        <v>0.33021465692261803</v>
      </c>
      <c r="D191" s="119">
        <f>D187+D185+D189</f>
        <v>1214051.412</v>
      </c>
      <c r="E191" s="73">
        <f t="shared" ref="E191:P191" si="136">E187+E185+E189</f>
        <v>0</v>
      </c>
      <c r="F191" s="63">
        <f t="shared" si="136"/>
        <v>400897.57049999997</v>
      </c>
      <c r="G191" s="63">
        <f t="shared" si="136"/>
        <v>192456.75750000001</v>
      </c>
      <c r="H191" s="63">
        <f t="shared" si="136"/>
        <v>153997.557</v>
      </c>
      <c r="I191" s="63">
        <f t="shared" si="136"/>
        <v>123748.27779492938</v>
      </c>
      <c r="J191" s="63">
        <f t="shared" si="136"/>
        <v>94081.692327772282</v>
      </c>
      <c r="K191" s="63">
        <f t="shared" si="136"/>
        <v>78645.186144200037</v>
      </c>
      <c r="L191" s="63">
        <f t="shared" si="136"/>
        <v>61979.840076880959</v>
      </c>
      <c r="M191" s="63">
        <f t="shared" si="136"/>
        <v>35198.498407160558</v>
      </c>
      <c r="N191" s="63">
        <f t="shared" si="136"/>
        <v>19177.363453946247</v>
      </c>
      <c r="O191" s="63">
        <f t="shared" si="136"/>
        <v>17833.33681517325</v>
      </c>
      <c r="P191" s="63">
        <f t="shared" si="136"/>
        <v>20073.381213128254</v>
      </c>
      <c r="Q191" s="63">
        <f t="shared" ref="Q191:S191" si="137">Q187+Q185+Q189</f>
        <v>747351.88500000001</v>
      </c>
      <c r="R191" s="63">
        <f t="shared" si="137"/>
        <v>450737.57623319101</v>
      </c>
      <c r="S191" s="63">
        <f t="shared" si="137"/>
        <v>1198089.461233191</v>
      </c>
      <c r="T191" s="63">
        <f>T187+T185+T189</f>
        <v>15961.950766808994</v>
      </c>
      <c r="U191" s="1"/>
      <c r="V191" s="1"/>
      <c r="W191" s="1"/>
      <c r="X191" s="1"/>
    </row>
    <row r="192" spans="1:24" ht="12.75" customHeight="1">
      <c r="A192" s="1"/>
      <c r="B192" s="14"/>
      <c r="C192" s="32"/>
      <c r="D192" s="115"/>
      <c r="E192" s="75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1"/>
      <c r="V192" s="1"/>
      <c r="W192" s="1"/>
      <c r="X192" s="1"/>
    </row>
    <row r="193" spans="1:24" ht="12.75" customHeight="1">
      <c r="A193" s="1"/>
      <c r="B193" s="107" t="s">
        <v>115</v>
      </c>
      <c r="C193" s="62"/>
      <c r="D193" s="119"/>
      <c r="E193" s="7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1"/>
      <c r="V193" s="1"/>
      <c r="W193" s="1"/>
      <c r="X193" s="1"/>
    </row>
    <row r="194" spans="1:24" ht="12.75" customHeight="1">
      <c r="A194" s="1"/>
      <c r="B194" s="61" t="s">
        <v>116</v>
      </c>
      <c r="C194" s="64"/>
      <c r="D194" s="120"/>
      <c r="E194" s="74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1"/>
      <c r="V194" s="1"/>
      <c r="W194" s="1"/>
      <c r="X194" s="1"/>
    </row>
    <row r="195" spans="1:24" ht="12.75" customHeight="1">
      <c r="A195" s="1"/>
      <c r="B195" s="66" t="s">
        <v>30</v>
      </c>
      <c r="C195" s="62">
        <f t="shared" ref="C195:C197" si="138">(SUM(E195:F195)/D195)</f>
        <v>0.21015195638490344</v>
      </c>
      <c r="D195" s="121">
        <v>100135.97</v>
      </c>
      <c r="E195" s="70"/>
      <c r="F195" s="67">
        <f>17866.63+1044.83+2132.31</f>
        <v>21043.77</v>
      </c>
      <c r="G195" s="67">
        <v>9797.23</v>
      </c>
      <c r="H195" s="67">
        <v>7631.14</v>
      </c>
      <c r="I195" s="67">
        <v>11020.764885000001</v>
      </c>
      <c r="J195" s="67">
        <v>10084.845225000001</v>
      </c>
      <c r="K195" s="67">
        <v>7631.14</v>
      </c>
      <c r="L195" s="67">
        <v>7631.14</v>
      </c>
      <c r="M195" s="67">
        <v>10084.845225000001</v>
      </c>
      <c r="N195" s="67">
        <v>7631.14</v>
      </c>
      <c r="O195" s="67">
        <v>10084.845225000001</v>
      </c>
      <c r="P195" s="90">
        <v>10084.845225000001</v>
      </c>
      <c r="Q195" s="91">
        <f>SUMIFS($E195:$P195,$E$6:$P$6,Q$1)</f>
        <v>38472.14</v>
      </c>
      <c r="R195" s="91">
        <f>SUMIFS($E195:$P195,$E$6:$P$6,R$1)</f>
        <v>74253.565784999999</v>
      </c>
      <c r="S195" s="91">
        <f t="shared" ref="S195:S197" si="139">R195+Q195</f>
        <v>112725.705785</v>
      </c>
      <c r="T195" s="92">
        <f>D195-S195</f>
        <v>-12589.735784999997</v>
      </c>
      <c r="U195" s="1"/>
      <c r="V195" s="1"/>
      <c r="W195" s="1"/>
      <c r="X195" s="1"/>
    </row>
    <row r="196" spans="1:24" ht="12.75" customHeight="1">
      <c r="A196" s="1"/>
      <c r="B196" s="66" t="s">
        <v>31</v>
      </c>
      <c r="C196" s="62" t="e">
        <f t="shared" si="138"/>
        <v>#DIV/0!</v>
      </c>
      <c r="D196" s="121">
        <v>0</v>
      </c>
      <c r="E196" s="70">
        <v>0</v>
      </c>
      <c r="F196" s="67">
        <v>0</v>
      </c>
      <c r="G196" s="67">
        <v>0</v>
      </c>
      <c r="H196" s="67">
        <v>0</v>
      </c>
      <c r="I196" s="67">
        <v>0</v>
      </c>
      <c r="J196" s="67">
        <v>0</v>
      </c>
      <c r="K196" s="67">
        <v>0</v>
      </c>
      <c r="L196" s="67">
        <v>0</v>
      </c>
      <c r="M196" s="67">
        <v>0</v>
      </c>
      <c r="N196" s="67">
        <v>0</v>
      </c>
      <c r="O196" s="67">
        <v>0</v>
      </c>
      <c r="P196" s="67">
        <v>0</v>
      </c>
      <c r="Q196" s="91">
        <f>SUMIFS($E196:$P196,$E$6:$P$6,Q$1)</f>
        <v>0</v>
      </c>
      <c r="R196" s="91">
        <f>SUMIFS($E196:$P196,$E$6:$P$6,R$1)</f>
        <v>0</v>
      </c>
      <c r="S196" s="91">
        <f t="shared" si="139"/>
        <v>0</v>
      </c>
      <c r="T196" s="92">
        <f>D196-S196</f>
        <v>0</v>
      </c>
      <c r="U196" s="1"/>
      <c r="V196" s="1"/>
      <c r="W196" s="1"/>
      <c r="X196" s="1"/>
    </row>
    <row r="197" spans="1:24" ht="12.75" customHeight="1">
      <c r="A197" s="1"/>
      <c r="B197" s="66" t="s">
        <v>32</v>
      </c>
      <c r="C197" s="62">
        <f t="shared" si="138"/>
        <v>7.3638246747866429E-3</v>
      </c>
      <c r="D197" s="121">
        <v>301725</v>
      </c>
      <c r="E197" s="70">
        <v>0</v>
      </c>
      <c r="F197" s="67">
        <f>1896.25+325.6</f>
        <v>2221.85</v>
      </c>
      <c r="G197" s="67">
        <v>953.86</v>
      </c>
      <c r="H197" s="67">
        <v>728.16</v>
      </c>
      <c r="I197" s="67">
        <v>132757</v>
      </c>
      <c r="J197" s="67">
        <v>999</v>
      </c>
      <c r="K197" s="67">
        <v>728.16</v>
      </c>
      <c r="L197" s="67">
        <v>728.16</v>
      </c>
      <c r="M197" s="67">
        <v>999</v>
      </c>
      <c r="N197" s="67">
        <v>728.16</v>
      </c>
      <c r="O197" s="67">
        <v>999</v>
      </c>
      <c r="P197" s="90">
        <v>135999</v>
      </c>
      <c r="Q197" s="91">
        <f>SUMIFS($E197:$P197,$E$6:$P$6,Q$1)</f>
        <v>3903.87</v>
      </c>
      <c r="R197" s="91">
        <f>SUMIFS($E197:$P197,$E$6:$P$6,R$1)</f>
        <v>273937.48</v>
      </c>
      <c r="S197" s="91">
        <f t="shared" si="139"/>
        <v>277841.34999999998</v>
      </c>
      <c r="T197" s="92">
        <f>D197-S197</f>
        <v>23883.650000000023</v>
      </c>
      <c r="U197" s="1"/>
      <c r="V197" s="1"/>
      <c r="W197" s="1"/>
      <c r="X197" s="1"/>
    </row>
    <row r="198" spans="1:24" ht="12.75" customHeight="1">
      <c r="A198" s="1"/>
      <c r="B198" s="61" t="s">
        <v>117</v>
      </c>
      <c r="C198" s="68"/>
      <c r="D198" s="119">
        <f t="shared" ref="D198" si="140">SUM(D195:D197)</f>
        <v>401860.97</v>
      </c>
      <c r="E198" s="73">
        <f t="shared" ref="E198:P198" si="141">SUM(E195:E197)</f>
        <v>0</v>
      </c>
      <c r="F198" s="63">
        <f t="shared" si="141"/>
        <v>23265.62</v>
      </c>
      <c r="G198" s="63">
        <f t="shared" si="141"/>
        <v>10751.09</v>
      </c>
      <c r="H198" s="63">
        <f t="shared" si="141"/>
        <v>8359.3000000000011</v>
      </c>
      <c r="I198" s="63">
        <f t="shared" si="141"/>
        <v>143777.76488500001</v>
      </c>
      <c r="J198" s="63">
        <f t="shared" si="141"/>
        <v>11083.845225000001</v>
      </c>
      <c r="K198" s="63">
        <f t="shared" si="141"/>
        <v>8359.3000000000011</v>
      </c>
      <c r="L198" s="63">
        <f t="shared" si="141"/>
        <v>8359.3000000000011</v>
      </c>
      <c r="M198" s="63">
        <f t="shared" si="141"/>
        <v>11083.845225000001</v>
      </c>
      <c r="N198" s="63">
        <f t="shared" si="141"/>
        <v>8359.3000000000011</v>
      </c>
      <c r="O198" s="63">
        <f t="shared" si="141"/>
        <v>11083.845225000001</v>
      </c>
      <c r="P198" s="63">
        <f t="shared" si="141"/>
        <v>146083.845225</v>
      </c>
      <c r="Q198" s="63">
        <f t="shared" ref="Q198:T198" si="142">SUM(Q195:Q197)</f>
        <v>42376.01</v>
      </c>
      <c r="R198" s="63">
        <f t="shared" si="142"/>
        <v>348191.04578499997</v>
      </c>
      <c r="S198" s="63">
        <f t="shared" si="142"/>
        <v>390567.05578499998</v>
      </c>
      <c r="T198" s="63">
        <f t="shared" si="142"/>
        <v>11293.914215000026</v>
      </c>
      <c r="U198" s="1"/>
      <c r="V198" s="1"/>
      <c r="W198" s="1"/>
      <c r="X198" s="1"/>
    </row>
    <row r="199" spans="1:24" ht="12.75" customHeight="1">
      <c r="A199" s="1"/>
      <c r="B199" s="61"/>
      <c r="C199" s="68"/>
      <c r="D199" s="119"/>
      <c r="E199" s="7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1"/>
      <c r="V199" s="1"/>
      <c r="W199" s="1"/>
      <c r="X199" s="1"/>
    </row>
    <row r="200" spans="1:24" ht="12.75" customHeight="1">
      <c r="A200" s="1"/>
      <c r="B200" s="61" t="s">
        <v>118</v>
      </c>
      <c r="C200" s="62"/>
      <c r="D200" s="119">
        <v>145261.20000000001</v>
      </c>
      <c r="E200" s="73">
        <v>0</v>
      </c>
      <c r="F200" s="69">
        <f>14514.51+1461.49+1116.96</f>
        <v>17092.96</v>
      </c>
      <c r="G200" s="69">
        <v>7939.74</v>
      </c>
      <c r="H200" s="69">
        <v>6180.99</v>
      </c>
      <c r="I200" s="69">
        <v>38560.198111822501</v>
      </c>
      <c r="J200" s="69">
        <v>8176.6754599125006</v>
      </c>
      <c r="K200" s="69">
        <v>6180.99</v>
      </c>
      <c r="L200" s="69">
        <v>6180.99</v>
      </c>
      <c r="M200" s="69">
        <v>8176.6754599125006</v>
      </c>
      <c r="N200" s="69">
        <v>6180.99</v>
      </c>
      <c r="O200" s="69">
        <v>8176.6754599125006</v>
      </c>
      <c r="P200" s="93">
        <v>38551.675459912498</v>
      </c>
      <c r="Q200" s="63">
        <f>SUMIFS($E200:$P200,$E$6:$P$6,Q$1)</f>
        <v>31213.689999999995</v>
      </c>
      <c r="R200" s="63">
        <f>SUMIFS($E200:$P200,$E$6:$P$6,R$1)</f>
        <v>120184.8699514725</v>
      </c>
      <c r="S200" s="63">
        <f>R200+Q200</f>
        <v>151398.5599514725</v>
      </c>
      <c r="T200" s="63">
        <f>D200-S200</f>
        <v>-6137.359951472492</v>
      </c>
      <c r="U200" s="1"/>
      <c r="V200" s="1"/>
      <c r="W200" s="1"/>
      <c r="X200" s="1"/>
    </row>
    <row r="201" spans="1:24" ht="12.75" customHeight="1">
      <c r="A201" s="1"/>
      <c r="B201" s="61"/>
      <c r="C201" s="62"/>
      <c r="D201" s="119"/>
      <c r="E201" s="7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1"/>
      <c r="V201" s="1"/>
      <c r="W201" s="1"/>
      <c r="X201" s="1"/>
    </row>
    <row r="202" spans="1:24" ht="12.75" customHeight="1">
      <c r="A202" s="1"/>
      <c r="B202" s="61" t="s">
        <v>119</v>
      </c>
      <c r="C202" s="62"/>
      <c r="D202" s="119">
        <f>SUM(D198:D201)*0.05</f>
        <v>27356.108499999998</v>
      </c>
      <c r="E202" s="73">
        <f t="shared" ref="E202:F202" si="143">SUM(E198:E201)*0.05</f>
        <v>0</v>
      </c>
      <c r="F202" s="63">
        <f t="shared" si="143"/>
        <v>2017.9290000000001</v>
      </c>
      <c r="G202" s="63">
        <f t="shared" ref="G202" si="144">SUM(G198:G201)*0.05</f>
        <v>934.54150000000016</v>
      </c>
      <c r="H202" s="63">
        <f>(H198+H200)*0.05</f>
        <v>727.01450000000011</v>
      </c>
      <c r="I202" s="63">
        <v>9116.898149841174</v>
      </c>
      <c r="J202" s="63">
        <v>963.02603424562403</v>
      </c>
      <c r="K202" s="63">
        <v>963.02603424562403</v>
      </c>
      <c r="L202" s="63">
        <v>963.02603424562403</v>
      </c>
      <c r="M202" s="63">
        <v>963.02603424562403</v>
      </c>
      <c r="N202" s="63">
        <v>963.02603424562403</v>
      </c>
      <c r="O202" s="63">
        <v>963.02603424562403</v>
      </c>
      <c r="P202" s="63">
        <v>9231.7760342456168</v>
      </c>
      <c r="Q202" s="92">
        <f>SUMIFS($E202:$P202,$E$6:$P$6,Q$1)</f>
        <v>3679.4850000000006</v>
      </c>
      <c r="R202" s="92">
        <f>SUMIFS($E202:$P202,$E$6:$P$6,R$1)</f>
        <v>24126.830389560535</v>
      </c>
      <c r="S202" s="92">
        <f t="shared" ref="S202" si="145">R202+Q202</f>
        <v>27806.315389560536</v>
      </c>
      <c r="T202" s="92">
        <f>D202-S202</f>
        <v>-450.20688956053709</v>
      </c>
      <c r="U202" s="1"/>
      <c r="V202" s="1"/>
      <c r="W202" s="1"/>
      <c r="X202" s="1"/>
    </row>
    <row r="203" spans="1:24" ht="12.75" customHeight="1">
      <c r="A203" s="1"/>
      <c r="B203" s="61"/>
      <c r="C203" s="68"/>
      <c r="D203" s="119"/>
      <c r="E203" s="7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1"/>
      <c r="V203" s="1"/>
      <c r="W203" s="1"/>
      <c r="X203" s="1"/>
    </row>
    <row r="204" spans="1:24" ht="12.75" customHeight="1">
      <c r="A204" s="1"/>
      <c r="B204" s="61" t="s">
        <v>120</v>
      </c>
      <c r="C204" s="62">
        <f t="shared" ref="C204" si="146">(SUM(E204:F204)/D204)</f>
        <v>7.376520677273965E-2</v>
      </c>
      <c r="D204" s="119">
        <f>D200+D198+D202</f>
        <v>574478.2784999999</v>
      </c>
      <c r="E204" s="73">
        <f t="shared" ref="E204:P204" si="147">E200+E198+E202</f>
        <v>0</v>
      </c>
      <c r="F204" s="63">
        <f t="shared" si="147"/>
        <v>42376.509000000005</v>
      </c>
      <c r="G204" s="63">
        <f t="shared" si="147"/>
        <v>19625.371500000001</v>
      </c>
      <c r="H204" s="63">
        <f t="shared" si="147"/>
        <v>15267.3045</v>
      </c>
      <c r="I204" s="63">
        <f t="shared" si="147"/>
        <v>191454.86114666369</v>
      </c>
      <c r="J204" s="63">
        <f t="shared" si="147"/>
        <v>20223.546719158127</v>
      </c>
      <c r="K204" s="63">
        <f t="shared" si="147"/>
        <v>15503.316034245625</v>
      </c>
      <c r="L204" s="63">
        <f t="shared" si="147"/>
        <v>15503.316034245625</v>
      </c>
      <c r="M204" s="63">
        <f t="shared" si="147"/>
        <v>20223.546719158127</v>
      </c>
      <c r="N204" s="63">
        <f t="shared" si="147"/>
        <v>15503.316034245625</v>
      </c>
      <c r="O204" s="63">
        <f t="shared" si="147"/>
        <v>20223.546719158127</v>
      </c>
      <c r="P204" s="63">
        <f t="shared" si="147"/>
        <v>193867.29671915813</v>
      </c>
      <c r="Q204" s="63">
        <f t="shared" ref="Q204:S204" si="148">Q200+Q198+Q202</f>
        <v>77269.184999999998</v>
      </c>
      <c r="R204" s="63">
        <f t="shared" si="148"/>
        <v>492502.74612603302</v>
      </c>
      <c r="S204" s="63">
        <f t="shared" si="148"/>
        <v>569771.93112603296</v>
      </c>
      <c r="T204" s="63">
        <f>T200+T198+T202</f>
        <v>4706.3473739669971</v>
      </c>
      <c r="U204" s="1"/>
      <c r="V204" s="1"/>
      <c r="W204" s="1"/>
      <c r="X204" s="1"/>
    </row>
    <row r="205" spans="1:24" ht="12.75" customHeight="1">
      <c r="A205" s="1"/>
      <c r="B205" s="14"/>
      <c r="C205" s="32"/>
      <c r="D205" s="115"/>
      <c r="E205" s="75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1"/>
      <c r="V205" s="1"/>
      <c r="W205" s="1"/>
      <c r="X205" s="1"/>
    </row>
    <row r="206" spans="1:24" ht="24" customHeight="1">
      <c r="A206" s="1"/>
      <c r="B206" s="107" t="s">
        <v>121</v>
      </c>
      <c r="C206" s="62"/>
      <c r="D206" s="119"/>
      <c r="E206" s="7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1"/>
      <c r="V206" s="1"/>
      <c r="W206" s="1"/>
      <c r="X206" s="1"/>
    </row>
    <row r="207" spans="1:24" ht="12.75" customHeight="1">
      <c r="A207" s="1"/>
      <c r="B207" s="61" t="s">
        <v>122</v>
      </c>
      <c r="C207" s="64"/>
      <c r="D207" s="120"/>
      <c r="E207" s="74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1"/>
      <c r="V207" s="1"/>
      <c r="W207" s="1"/>
      <c r="X207" s="1"/>
    </row>
    <row r="208" spans="1:24" ht="12.75" customHeight="1">
      <c r="A208" s="1"/>
      <c r="B208" s="66" t="s">
        <v>30</v>
      </c>
      <c r="C208" s="62">
        <f t="shared" ref="C208:C210" si="149">(SUM(E208:F208)/D208)</f>
        <v>0.12914403889172049</v>
      </c>
      <c r="D208" s="121">
        <v>2449996.0099999998</v>
      </c>
      <c r="E208" s="70"/>
      <c r="F208" s="67">
        <f>259766.92+39601.51+10468.67+6565.28</f>
        <v>316402.38</v>
      </c>
      <c r="G208" s="67">
        <v>266967.09999999998</v>
      </c>
      <c r="H208" s="67">
        <v>127769.13</v>
      </c>
      <c r="I208" s="67">
        <f>0.95*213911.141446</f>
        <v>203215.5843737</v>
      </c>
      <c r="J208" s="67">
        <v>213911.14144599997</v>
      </c>
      <c r="K208" s="114">
        <v>213911.14144599997</v>
      </c>
      <c r="L208" s="114">
        <v>213911.14144599997</v>
      </c>
      <c r="M208" s="114">
        <v>213911.14144599997</v>
      </c>
      <c r="N208" s="114">
        <v>213911.14144599997</v>
      </c>
      <c r="O208" s="114">
        <v>213911.14144599997</v>
      </c>
      <c r="P208" s="114">
        <v>213911.14144599997</v>
      </c>
      <c r="Q208" s="91">
        <f>SUMIFS($E208:$P208,$E$6:$P$6,Q$1)</f>
        <v>711138.61</v>
      </c>
      <c r="R208" s="91">
        <f>SUMIFS($E208:$P208,$E$6:$P$6,R$1)</f>
        <v>1700593.5744956997</v>
      </c>
      <c r="S208" s="91">
        <f t="shared" ref="S208:S210" si="150">R208+Q208</f>
        <v>2411732.1844956996</v>
      </c>
      <c r="T208" s="92">
        <f>D208-S208</f>
        <v>38263.825504300185</v>
      </c>
      <c r="U208" s="1"/>
      <c r="V208" s="1"/>
      <c r="W208" s="1"/>
      <c r="X208" s="1"/>
    </row>
    <row r="209" spans="1:24" ht="12.75" customHeight="1">
      <c r="A209" s="1"/>
      <c r="B209" s="66" t="s">
        <v>31</v>
      </c>
      <c r="C209" s="62" t="e">
        <f t="shared" si="149"/>
        <v>#DIV/0!</v>
      </c>
      <c r="D209" s="121">
        <v>0</v>
      </c>
      <c r="E209" s="70"/>
      <c r="F209" s="67">
        <v>0</v>
      </c>
      <c r="G209" s="67">
        <v>0</v>
      </c>
      <c r="H209" s="67">
        <v>0</v>
      </c>
      <c r="I209" s="67">
        <v>0</v>
      </c>
      <c r="J209" s="67">
        <v>0</v>
      </c>
      <c r="K209" s="67">
        <v>0</v>
      </c>
      <c r="L209" s="67">
        <v>0</v>
      </c>
      <c r="M209" s="67">
        <v>0</v>
      </c>
      <c r="N209" s="67">
        <v>0</v>
      </c>
      <c r="O209" s="67">
        <v>0</v>
      </c>
      <c r="P209" s="67">
        <v>0</v>
      </c>
      <c r="Q209" s="91">
        <f>SUMIFS($E209:$P209,$E$6:$P$6,Q$1)</f>
        <v>0</v>
      </c>
      <c r="R209" s="91">
        <f>SUMIFS($E209:$P209,$E$6:$P$6,R$1)</f>
        <v>0</v>
      </c>
      <c r="S209" s="91">
        <f t="shared" si="150"/>
        <v>0</v>
      </c>
      <c r="T209" s="92">
        <f>D209-S209</f>
        <v>0</v>
      </c>
      <c r="U209" s="1"/>
      <c r="V209" s="1"/>
      <c r="W209" s="1"/>
      <c r="X209" s="1"/>
    </row>
    <row r="210" spans="1:24" ht="12.75" customHeight="1">
      <c r="A210" s="1"/>
      <c r="B210" s="66" t="s">
        <v>32</v>
      </c>
      <c r="C210" s="62">
        <f t="shared" si="149"/>
        <v>6.1595545883833647E-2</v>
      </c>
      <c r="D210" s="121">
        <v>624501</v>
      </c>
      <c r="E210" s="70"/>
      <c r="F210" s="67">
        <f>31361.17+7105.31</f>
        <v>38466.479999999996</v>
      </c>
      <c r="G210" s="67">
        <v>49089.22</v>
      </c>
      <c r="H210" s="67">
        <v>46136.6</v>
      </c>
      <c r="I210" s="67">
        <f>0.95*49204.8</f>
        <v>46744.56</v>
      </c>
      <c r="J210" s="67">
        <v>43004.800000000003</v>
      </c>
      <c r="K210" s="67">
        <v>49204.800000000003</v>
      </c>
      <c r="L210" s="67">
        <v>49204.800000000003</v>
      </c>
      <c r="M210" s="67">
        <v>49204.800000000003</v>
      </c>
      <c r="N210" s="67">
        <v>49204.800000000003</v>
      </c>
      <c r="O210" s="67">
        <v>49204.800000000003</v>
      </c>
      <c r="P210" s="90">
        <v>51704.800000000003</v>
      </c>
      <c r="Q210" s="91">
        <f>SUMIFS($E210:$P210,$E$6:$P$6,Q$1)</f>
        <v>133692.29999999999</v>
      </c>
      <c r="R210" s="91">
        <f>SUMIFS($E210:$P210,$E$6:$P$6,R$1)</f>
        <v>387478.16</v>
      </c>
      <c r="S210" s="91">
        <f t="shared" si="150"/>
        <v>521170.45999999996</v>
      </c>
      <c r="T210" s="92">
        <f>D210-S210</f>
        <v>103330.54000000004</v>
      </c>
      <c r="U210" s="1"/>
      <c r="V210" s="1"/>
      <c r="W210" s="1"/>
      <c r="X210" s="1"/>
    </row>
    <row r="211" spans="1:24" ht="12.75" customHeight="1">
      <c r="A211" s="1"/>
      <c r="B211" s="61" t="s">
        <v>123</v>
      </c>
      <c r="C211" s="68"/>
      <c r="D211" s="119">
        <f t="shared" ref="D211" si="151">SUM(D208:D210)</f>
        <v>3074497.01</v>
      </c>
      <c r="E211" s="73">
        <f t="shared" ref="E211:T211" si="152">SUM(E208:E210)</f>
        <v>0</v>
      </c>
      <c r="F211" s="63">
        <f t="shared" si="152"/>
        <v>354868.86</v>
      </c>
      <c r="G211" s="63">
        <f t="shared" si="152"/>
        <v>316056.31999999995</v>
      </c>
      <c r="H211" s="63">
        <f t="shared" si="152"/>
        <v>173905.73</v>
      </c>
      <c r="I211" s="63">
        <f t="shared" si="152"/>
        <v>249960.14437369999</v>
      </c>
      <c r="J211" s="63">
        <f t="shared" si="152"/>
        <v>256915.94144599995</v>
      </c>
      <c r="K211" s="63">
        <f t="shared" si="152"/>
        <v>263115.94144599995</v>
      </c>
      <c r="L211" s="63">
        <f t="shared" si="152"/>
        <v>263115.94144599995</v>
      </c>
      <c r="M211" s="63">
        <f t="shared" si="152"/>
        <v>263115.94144599995</v>
      </c>
      <c r="N211" s="63">
        <f t="shared" si="152"/>
        <v>263115.94144599995</v>
      </c>
      <c r="O211" s="63">
        <f t="shared" si="152"/>
        <v>263115.94144599995</v>
      </c>
      <c r="P211" s="63">
        <f t="shared" si="152"/>
        <v>265615.94144599995</v>
      </c>
      <c r="Q211" s="63">
        <f t="shared" si="152"/>
        <v>844830.90999999992</v>
      </c>
      <c r="R211" s="63">
        <f t="shared" si="152"/>
        <v>2088071.7344956996</v>
      </c>
      <c r="S211" s="63">
        <f t="shared" si="152"/>
        <v>2932902.6444956996</v>
      </c>
      <c r="T211" s="63">
        <f t="shared" si="152"/>
        <v>141594.36550430022</v>
      </c>
      <c r="U211" s="1"/>
      <c r="V211" s="1"/>
      <c r="W211" s="1"/>
      <c r="X211" s="1"/>
    </row>
    <row r="212" spans="1:24" ht="12.75" customHeight="1">
      <c r="A212" s="1"/>
      <c r="B212" s="61"/>
      <c r="C212" s="68"/>
      <c r="D212" s="119"/>
      <c r="E212" s="7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1"/>
      <c r="V212" s="1"/>
      <c r="W212" s="1"/>
      <c r="X212" s="1"/>
    </row>
    <row r="213" spans="1:24" ht="12.75" customHeight="1">
      <c r="A213" s="1"/>
      <c r="B213" s="61" t="s">
        <v>124</v>
      </c>
      <c r="C213" s="62"/>
      <c r="D213" s="119">
        <v>1544456.22</v>
      </c>
      <c r="E213" s="73"/>
      <c r="F213" s="69">
        <f>184008.31+12167.81+6610.23+18566.75</f>
        <v>221353.1</v>
      </c>
      <c r="G213" s="69">
        <v>172675.66999999998</v>
      </c>
      <c r="H213" s="69">
        <v>92287.78</v>
      </c>
      <c r="I213" s="69">
        <f>0.95*141332.965640406</f>
        <v>134266.31735838571</v>
      </c>
      <c r="J213" s="69">
        <v>139937.96564040601</v>
      </c>
      <c r="K213" s="69">
        <v>141332.96564040601</v>
      </c>
      <c r="L213" s="69">
        <v>141332.96564040601</v>
      </c>
      <c r="M213" s="69">
        <v>141332.96564040601</v>
      </c>
      <c r="N213" s="69">
        <v>141332.96564040601</v>
      </c>
      <c r="O213" s="69">
        <v>141332.96564040601</v>
      </c>
      <c r="P213" s="93">
        <v>141895.46564040601</v>
      </c>
      <c r="Q213" s="63">
        <f>SUMIFS($E213:$P213,$E$6:$P$6,Q$1)</f>
        <v>486316.55000000005</v>
      </c>
      <c r="R213" s="63">
        <f>SUMIFS($E213:$P213,$E$6:$P$6,R$1)</f>
        <v>1122764.5768412277</v>
      </c>
      <c r="S213" s="63">
        <f>R213+Q213</f>
        <v>1609081.1268412278</v>
      </c>
      <c r="T213" s="63">
        <f>D213-S213</f>
        <v>-64624.906841227785</v>
      </c>
      <c r="U213" s="1"/>
      <c r="V213" s="1"/>
      <c r="W213" s="1"/>
      <c r="X213" s="1"/>
    </row>
    <row r="214" spans="1:24" ht="12.75" customHeight="1">
      <c r="A214" s="1"/>
      <c r="B214" s="61"/>
      <c r="C214" s="62"/>
      <c r="D214" s="119"/>
      <c r="E214" s="7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1"/>
      <c r="V214" s="1"/>
      <c r="W214" s="1"/>
      <c r="X214" s="1"/>
    </row>
    <row r="215" spans="1:24" ht="12.75" customHeight="1">
      <c r="A215" s="1"/>
      <c r="B215" s="61" t="s">
        <v>125</v>
      </c>
      <c r="C215" s="62"/>
      <c r="D215" s="119">
        <f t="shared" ref="D215" si="153">SUM(D211:D214)*0.05</f>
        <v>230947.66149999999</v>
      </c>
      <c r="E215" s="73">
        <f t="shared" ref="E215:F215" si="154">SUM(E211:E214)*0.05</f>
        <v>0</v>
      </c>
      <c r="F215" s="63">
        <f t="shared" si="154"/>
        <v>28811.097999999998</v>
      </c>
      <c r="G215" s="63">
        <f t="shared" ref="G215" si="155">SUM(G211:G214)*0.05</f>
        <v>24436.599499999997</v>
      </c>
      <c r="H215" s="63">
        <f>(H211+H213)*0.05</f>
        <v>13309.675500000001</v>
      </c>
      <c r="I215" s="63">
        <v>20222.445354320284</v>
      </c>
      <c r="J215" s="63">
        <v>19842.695354320284</v>
      </c>
      <c r="K215" s="63">
        <v>20222.445354320284</v>
      </c>
      <c r="L215" s="63">
        <v>20222.445354320284</v>
      </c>
      <c r="M215" s="63">
        <v>20222.445354320284</v>
      </c>
      <c r="N215" s="63">
        <v>20222.445354320284</v>
      </c>
      <c r="O215" s="63">
        <v>20222.445354320284</v>
      </c>
      <c r="P215" s="63">
        <v>20375.570354320284</v>
      </c>
      <c r="Q215" s="92">
        <f>SUMIFS($E215:$P215,$E$6:$P$6,Q$1)</f>
        <v>66557.372999999992</v>
      </c>
      <c r="R215" s="92">
        <f>SUMIFS($E215:$P215,$E$6:$P$6,R$1)</f>
        <v>161552.93783456227</v>
      </c>
      <c r="S215" s="92">
        <f t="shared" ref="S215" si="156">R215+Q215</f>
        <v>228110.31083456226</v>
      </c>
      <c r="T215" s="92">
        <f>D215-S215</f>
        <v>2837.350665437727</v>
      </c>
      <c r="U215" s="1"/>
      <c r="V215" s="1"/>
      <c r="W215" s="1"/>
      <c r="X215" s="1"/>
    </row>
    <row r="216" spans="1:24" ht="12.75" customHeight="1">
      <c r="A216" s="1"/>
      <c r="B216" s="61"/>
      <c r="C216" s="68"/>
      <c r="D216" s="119"/>
      <c r="E216" s="7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1"/>
      <c r="V216" s="1"/>
      <c r="W216" s="1"/>
      <c r="X216" s="1"/>
    </row>
    <row r="217" spans="1:24" ht="12.75" customHeight="1">
      <c r="A217" s="1"/>
      <c r="B217" s="61" t="s">
        <v>126</v>
      </c>
      <c r="C217" s="62">
        <f t="shared" ref="C217" si="157">(SUM(E217:F217)/D217)</f>
        <v>0.12475171055877063</v>
      </c>
      <c r="D217" s="119">
        <f>D213+D211+D215-3</f>
        <v>4849897.8914999999</v>
      </c>
      <c r="E217" s="73">
        <f t="shared" ref="E217:S217" si="158">E213+E211+E215</f>
        <v>0</v>
      </c>
      <c r="F217" s="63">
        <f>F213+F211+F215</f>
        <v>605033.05799999996</v>
      </c>
      <c r="G217" s="63">
        <f t="shared" si="158"/>
        <v>513168.58949999994</v>
      </c>
      <c r="H217" s="63">
        <f t="shared" si="158"/>
        <v>279503.18550000002</v>
      </c>
      <c r="I217" s="63">
        <f t="shared" si="158"/>
        <v>404448.90708640596</v>
      </c>
      <c r="J217" s="63">
        <f t="shared" si="158"/>
        <v>416696.60244072624</v>
      </c>
      <c r="K217" s="63">
        <f t="shared" si="158"/>
        <v>424671.35244072624</v>
      </c>
      <c r="L217" s="63">
        <f t="shared" si="158"/>
        <v>424671.35244072624</v>
      </c>
      <c r="M217" s="63">
        <f t="shared" si="158"/>
        <v>424671.35244072624</v>
      </c>
      <c r="N217" s="63">
        <f t="shared" si="158"/>
        <v>424671.35244072624</v>
      </c>
      <c r="O217" s="63">
        <f t="shared" si="158"/>
        <v>424671.35244072624</v>
      </c>
      <c r="P217" s="63">
        <f t="shared" si="158"/>
        <v>427886.97744072624</v>
      </c>
      <c r="Q217" s="63">
        <f t="shared" si="158"/>
        <v>1397704.8329999999</v>
      </c>
      <c r="R217" s="63">
        <f t="shared" si="158"/>
        <v>3372389.2491714894</v>
      </c>
      <c r="S217" s="63">
        <f t="shared" si="158"/>
        <v>4770094.0821714895</v>
      </c>
      <c r="T217" s="63">
        <f>T213+T211+T215</f>
        <v>79806.809328510164</v>
      </c>
      <c r="U217" s="1"/>
      <c r="V217" s="1"/>
      <c r="W217" s="1"/>
      <c r="X217" s="1"/>
    </row>
    <row r="218" spans="1:24" ht="15.6" hidden="1" customHeight="1">
      <c r="A218" s="1"/>
      <c r="B218" s="14"/>
      <c r="C218" s="32"/>
      <c r="D218" s="115"/>
      <c r="E218" s="75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1"/>
      <c r="V218" s="1"/>
      <c r="W218" s="1"/>
      <c r="X218" s="1"/>
    </row>
    <row r="219" spans="1:24" ht="29.25" hidden="1" customHeight="1" outlineLevel="1">
      <c r="A219" s="1"/>
      <c r="B219" s="14"/>
      <c r="C219" s="32"/>
      <c r="D219" s="115"/>
      <c r="E219" s="75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1"/>
      <c r="V219" s="1"/>
      <c r="W219" s="1"/>
      <c r="X219" s="1"/>
    </row>
    <row r="220" spans="1:24" ht="12.75" hidden="1" customHeight="1" outlineLevel="1">
      <c r="A220" s="1"/>
      <c r="B220" s="35"/>
      <c r="C220" s="36"/>
      <c r="D220" s="122"/>
      <c r="E220" s="76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94"/>
      <c r="U220" s="1"/>
      <c r="V220" s="1"/>
      <c r="W220" s="1"/>
      <c r="X220" s="1"/>
    </row>
    <row r="221" spans="1:24" ht="12.75" hidden="1" customHeight="1" outlineLevel="1">
      <c r="A221" s="1"/>
      <c r="B221" s="38"/>
      <c r="C221" s="27"/>
      <c r="D221" s="123"/>
      <c r="E221" s="77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95"/>
      <c r="Q221" s="96"/>
      <c r="R221" s="97"/>
      <c r="S221" s="97"/>
      <c r="T221" s="98"/>
      <c r="U221" s="1"/>
      <c r="V221" s="1"/>
      <c r="W221" s="1"/>
      <c r="X221" s="1"/>
    </row>
    <row r="222" spans="1:24" ht="12.75" hidden="1" customHeight="1" outlineLevel="1">
      <c r="A222" s="1"/>
      <c r="B222" s="38"/>
      <c r="C222" s="27"/>
      <c r="D222" s="123"/>
      <c r="E222" s="77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95"/>
      <c r="Q222" s="96"/>
      <c r="R222" s="97"/>
      <c r="S222" s="97"/>
      <c r="T222" s="98"/>
      <c r="U222" s="1"/>
      <c r="V222" s="1"/>
      <c r="W222" s="1"/>
      <c r="X222" s="1"/>
    </row>
    <row r="223" spans="1:24" ht="12.75" hidden="1" customHeight="1" outlineLevel="1">
      <c r="A223" s="1"/>
      <c r="B223" s="38"/>
      <c r="C223" s="27"/>
      <c r="D223" s="123"/>
      <c r="E223" s="77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95"/>
      <c r="Q223" s="96"/>
      <c r="R223" s="97"/>
      <c r="S223" s="97"/>
      <c r="T223" s="98"/>
      <c r="U223" s="1"/>
      <c r="V223" s="1"/>
      <c r="W223" s="1"/>
      <c r="X223" s="1"/>
    </row>
    <row r="224" spans="1:24" ht="12.75" hidden="1" customHeight="1" outlineLevel="1">
      <c r="A224" s="1"/>
      <c r="B224" s="40"/>
      <c r="C224" s="41"/>
      <c r="D224" s="124"/>
      <c r="E224" s="78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99"/>
      <c r="R224" s="42"/>
      <c r="S224" s="42"/>
      <c r="T224" s="99"/>
      <c r="U224" s="1"/>
      <c r="V224" s="1"/>
      <c r="W224" s="1"/>
      <c r="X224" s="1"/>
    </row>
    <row r="225" spans="1:24" ht="12.75" hidden="1" customHeight="1" outlineLevel="1">
      <c r="A225" s="1"/>
      <c r="B225" s="43"/>
      <c r="C225" s="44"/>
      <c r="D225" s="125"/>
      <c r="E225" s="80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100"/>
      <c r="U225" s="1"/>
      <c r="V225" s="1"/>
      <c r="W225" s="1"/>
      <c r="X225" s="1"/>
    </row>
    <row r="226" spans="1:24" ht="12.75" hidden="1" customHeight="1" outlineLevel="1">
      <c r="A226" s="1"/>
      <c r="B226" s="46"/>
      <c r="C226" s="47"/>
      <c r="D226" s="126"/>
      <c r="E226" s="82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101"/>
      <c r="Q226" s="99"/>
      <c r="R226" s="42"/>
      <c r="S226" s="42"/>
      <c r="T226" s="99"/>
      <c r="U226" s="1"/>
      <c r="V226" s="1"/>
      <c r="W226" s="1"/>
      <c r="X226" s="1"/>
    </row>
    <row r="227" spans="1:24" ht="12.75" hidden="1" customHeight="1" outlineLevel="1">
      <c r="A227" s="1"/>
      <c r="B227" s="49"/>
      <c r="C227" s="50"/>
      <c r="D227" s="125"/>
      <c r="E227" s="83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102"/>
      <c r="U227" s="1"/>
      <c r="V227" s="1"/>
      <c r="W227" s="1"/>
      <c r="X227" s="1"/>
    </row>
    <row r="228" spans="1:24" ht="12.75" hidden="1" customHeight="1" outlineLevel="1">
      <c r="A228" s="1"/>
      <c r="B228" s="40"/>
      <c r="C228" s="50"/>
      <c r="D228" s="127"/>
      <c r="E228" s="84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98"/>
      <c r="R228" s="103"/>
      <c r="S228" s="103"/>
      <c r="T228" s="98"/>
      <c r="U228" s="1"/>
      <c r="V228" s="1"/>
      <c r="W228" s="1"/>
      <c r="X228" s="1"/>
    </row>
    <row r="229" spans="1:24" ht="12.75" hidden="1" outlineLevel="1">
      <c r="A229" s="1"/>
      <c r="B229" s="53"/>
      <c r="C229" s="54"/>
      <c r="D229" s="128"/>
      <c r="E229" s="8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104"/>
      <c r="U229" s="1"/>
      <c r="V229" s="1"/>
      <c r="W229" s="1"/>
      <c r="X229" s="1"/>
    </row>
    <row r="230" spans="1:24" ht="12.75" hidden="1" outlineLevel="1">
      <c r="A230" s="1"/>
      <c r="B230" s="40"/>
      <c r="C230" s="27"/>
      <c r="D230" s="126"/>
      <c r="E230" s="81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1"/>
      <c r="V230" s="1"/>
      <c r="W230" s="1"/>
      <c r="X230" s="1"/>
    </row>
    <row r="231" spans="1:24" ht="12.75" hidden="1" outlineLevel="1">
      <c r="A231" s="1"/>
      <c r="B231" s="14"/>
      <c r="C231" s="32"/>
      <c r="D231" s="115"/>
      <c r="E231" s="75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1"/>
      <c r="V231" s="1"/>
      <c r="W231" s="1"/>
      <c r="X231" s="1"/>
    </row>
    <row r="232" spans="1:24" ht="12.75" hidden="1" customHeight="1" outlineLevel="1">
      <c r="A232" s="1"/>
      <c r="B232" s="14"/>
      <c r="C232" s="32"/>
      <c r="D232" s="115"/>
      <c r="E232" s="75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1"/>
      <c r="V232" s="1"/>
      <c r="W232" s="1"/>
      <c r="X232" s="1"/>
    </row>
    <row r="233" spans="1:24" ht="12.75" hidden="1" customHeight="1" outlineLevel="1">
      <c r="A233" s="1"/>
      <c r="B233" s="35"/>
      <c r="C233" s="36"/>
      <c r="D233" s="122"/>
      <c r="E233" s="76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94"/>
      <c r="U233" s="1"/>
      <c r="V233" s="1"/>
      <c r="W233" s="1"/>
      <c r="X233" s="1"/>
    </row>
    <row r="234" spans="1:24" ht="12.75" hidden="1" customHeight="1" outlineLevel="1">
      <c r="A234" s="1"/>
      <c r="B234" s="38"/>
      <c r="C234" s="27"/>
      <c r="D234" s="123"/>
      <c r="E234" s="77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95"/>
      <c r="Q234" s="96"/>
      <c r="R234" s="97"/>
      <c r="S234" s="97"/>
      <c r="T234" s="98"/>
      <c r="U234" s="1"/>
      <c r="V234" s="1"/>
      <c r="W234" s="1"/>
      <c r="X234" s="1"/>
    </row>
    <row r="235" spans="1:24" ht="12.75" hidden="1" customHeight="1" outlineLevel="1">
      <c r="A235" s="1"/>
      <c r="B235" s="38"/>
      <c r="C235" s="27"/>
      <c r="D235" s="123"/>
      <c r="E235" s="77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95"/>
      <c r="Q235" s="96"/>
      <c r="R235" s="97"/>
      <c r="S235" s="97"/>
      <c r="T235" s="98"/>
      <c r="U235" s="1"/>
      <c r="V235" s="1"/>
      <c r="W235" s="1"/>
      <c r="X235" s="1"/>
    </row>
    <row r="236" spans="1:24" ht="12.75" hidden="1" customHeight="1" outlineLevel="1">
      <c r="A236" s="1"/>
      <c r="B236" s="38"/>
      <c r="C236" s="27"/>
      <c r="D236" s="123"/>
      <c r="E236" s="77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95"/>
      <c r="Q236" s="96"/>
      <c r="R236" s="97"/>
      <c r="S236" s="97"/>
      <c r="T236" s="98"/>
      <c r="U236" s="1"/>
      <c r="V236" s="1"/>
      <c r="W236" s="1"/>
      <c r="X236" s="1"/>
    </row>
    <row r="237" spans="1:24" ht="12.75" hidden="1" customHeight="1" outlineLevel="1">
      <c r="A237" s="1"/>
      <c r="B237" s="40"/>
      <c r="C237" s="41"/>
      <c r="D237" s="124"/>
      <c r="E237" s="78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99"/>
      <c r="R237" s="42"/>
      <c r="S237" s="42"/>
      <c r="T237" s="99"/>
      <c r="U237" s="1"/>
      <c r="V237" s="1"/>
      <c r="W237" s="1"/>
      <c r="X237" s="1"/>
    </row>
    <row r="238" spans="1:24" ht="12.75" hidden="1" customHeight="1" outlineLevel="1">
      <c r="A238" s="1"/>
      <c r="B238" s="43"/>
      <c r="C238" s="44"/>
      <c r="D238" s="125"/>
      <c r="E238" s="80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100"/>
      <c r="U238" s="1"/>
      <c r="V238" s="1"/>
      <c r="W238" s="1"/>
      <c r="X238" s="1"/>
    </row>
    <row r="239" spans="1:24" ht="12.75" hidden="1" customHeight="1" outlineLevel="1">
      <c r="A239" s="1"/>
      <c r="B239" s="46"/>
      <c r="C239" s="47"/>
      <c r="D239" s="126"/>
      <c r="E239" s="82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101"/>
      <c r="Q239" s="99"/>
      <c r="R239" s="42"/>
      <c r="S239" s="42"/>
      <c r="T239" s="99"/>
      <c r="U239" s="1"/>
      <c r="V239" s="1"/>
      <c r="W239" s="1"/>
      <c r="X239" s="1"/>
    </row>
    <row r="240" spans="1:24" ht="12.75" hidden="1" customHeight="1" outlineLevel="1">
      <c r="A240" s="1"/>
      <c r="B240" s="49"/>
      <c r="C240" s="50"/>
      <c r="D240" s="125"/>
      <c r="E240" s="83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102"/>
      <c r="U240" s="1"/>
      <c r="V240" s="1"/>
      <c r="W240" s="1"/>
      <c r="X240" s="1"/>
    </row>
    <row r="241" spans="1:24" ht="12.75" hidden="1" customHeight="1" outlineLevel="1">
      <c r="A241" s="1"/>
      <c r="B241" s="40"/>
      <c r="C241" s="50"/>
      <c r="D241" s="127"/>
      <c r="E241" s="84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98"/>
      <c r="R241" s="103"/>
      <c r="S241" s="103"/>
      <c r="T241" s="98"/>
      <c r="U241" s="1"/>
      <c r="V241" s="1"/>
      <c r="W241" s="1"/>
      <c r="X241" s="1"/>
    </row>
    <row r="242" spans="1:24" ht="12.75" hidden="1" customHeight="1" outlineLevel="1">
      <c r="A242" s="1"/>
      <c r="B242" s="53"/>
      <c r="C242" s="54"/>
      <c r="D242" s="128"/>
      <c r="E242" s="8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104"/>
      <c r="U242" s="1"/>
      <c r="V242" s="1"/>
      <c r="W242" s="1"/>
      <c r="X242" s="1"/>
    </row>
    <row r="243" spans="1:24" ht="12.75" hidden="1" customHeight="1" outlineLevel="1">
      <c r="A243" s="1"/>
      <c r="B243" s="40"/>
      <c r="C243" s="27"/>
      <c r="D243" s="127"/>
      <c r="E243" s="81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1"/>
      <c r="V243" s="1"/>
      <c r="W243" s="1"/>
      <c r="X243" s="1"/>
    </row>
    <row r="244" spans="1:24" ht="12.75" hidden="1" outlineLevel="1">
      <c r="A244" s="1"/>
      <c r="B244" s="14"/>
      <c r="C244" s="57"/>
      <c r="D244" s="127"/>
      <c r="E244" s="75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1"/>
      <c r="V244" s="1"/>
      <c r="W244" s="1"/>
      <c r="X244" s="1"/>
    </row>
    <row r="245" spans="1:24" ht="12.75" hidden="1" customHeight="1" outlineLevel="1">
      <c r="A245" s="1"/>
      <c r="B245" s="14"/>
      <c r="C245" s="32"/>
      <c r="D245" s="115"/>
      <c r="E245" s="75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1"/>
      <c r="V245" s="1"/>
      <c r="W245" s="1"/>
      <c r="X245" s="1"/>
    </row>
    <row r="246" spans="1:24" ht="12.75" hidden="1" customHeight="1" outlineLevel="1">
      <c r="A246" s="1"/>
      <c r="B246" s="35"/>
      <c r="C246" s="36"/>
      <c r="D246" s="122"/>
      <c r="E246" s="76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94"/>
      <c r="U246" s="1"/>
      <c r="V246" s="1"/>
      <c r="W246" s="1"/>
      <c r="X246" s="1"/>
    </row>
    <row r="247" spans="1:24" ht="12.75" hidden="1" customHeight="1" outlineLevel="1">
      <c r="A247" s="1"/>
      <c r="B247" s="38"/>
      <c r="C247" s="27"/>
      <c r="D247" s="123"/>
      <c r="E247" s="77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95"/>
      <c r="Q247" s="96"/>
      <c r="R247" s="97"/>
      <c r="S247" s="97"/>
      <c r="T247" s="98"/>
      <c r="U247" s="1"/>
      <c r="V247" s="1"/>
      <c r="W247" s="1"/>
      <c r="X247" s="1"/>
    </row>
    <row r="248" spans="1:24" ht="12.75" hidden="1" customHeight="1" outlineLevel="1">
      <c r="A248" s="1"/>
      <c r="B248" s="38"/>
      <c r="C248" s="27"/>
      <c r="D248" s="123"/>
      <c r="E248" s="77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95"/>
      <c r="Q248" s="96"/>
      <c r="R248" s="97"/>
      <c r="S248" s="97"/>
      <c r="T248" s="98"/>
      <c r="U248" s="1"/>
      <c r="V248" s="1"/>
      <c r="W248" s="1"/>
      <c r="X248" s="1"/>
    </row>
    <row r="249" spans="1:24" ht="12.75" hidden="1" customHeight="1" outlineLevel="1">
      <c r="A249" s="1"/>
      <c r="B249" s="38"/>
      <c r="C249" s="27"/>
      <c r="D249" s="123"/>
      <c r="E249" s="77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95"/>
      <c r="Q249" s="96"/>
      <c r="R249" s="97"/>
      <c r="S249" s="97"/>
      <c r="T249" s="98"/>
      <c r="U249" s="1"/>
      <c r="V249" s="1"/>
      <c r="W249" s="1"/>
      <c r="X249" s="1"/>
    </row>
    <row r="250" spans="1:24" ht="12.75" hidden="1" customHeight="1" outlineLevel="1">
      <c r="A250" s="1"/>
      <c r="B250" s="40"/>
      <c r="C250" s="41"/>
      <c r="D250" s="124"/>
      <c r="E250" s="78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99"/>
      <c r="R250" s="42"/>
      <c r="S250" s="42"/>
      <c r="T250" s="99"/>
      <c r="U250" s="1"/>
      <c r="V250" s="1"/>
      <c r="W250" s="1"/>
      <c r="X250" s="1"/>
    </row>
    <row r="251" spans="1:24" ht="12.75" hidden="1" customHeight="1" outlineLevel="1">
      <c r="A251" s="1"/>
      <c r="B251" s="43"/>
      <c r="C251" s="44"/>
      <c r="D251" s="125"/>
      <c r="E251" s="80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100"/>
      <c r="U251" s="1"/>
      <c r="V251" s="1"/>
      <c r="W251" s="1"/>
      <c r="X251" s="1"/>
    </row>
    <row r="252" spans="1:24" ht="12.75" hidden="1" customHeight="1" outlineLevel="1">
      <c r="A252" s="1"/>
      <c r="B252" s="46"/>
      <c r="C252" s="47"/>
      <c r="D252" s="126"/>
      <c r="E252" s="82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101"/>
      <c r="Q252" s="99"/>
      <c r="R252" s="42"/>
      <c r="S252" s="42"/>
      <c r="T252" s="99"/>
      <c r="U252" s="1"/>
      <c r="V252" s="1"/>
      <c r="W252" s="1"/>
      <c r="X252" s="1"/>
    </row>
    <row r="253" spans="1:24" ht="12.75" hidden="1" customHeight="1" outlineLevel="1">
      <c r="A253" s="1"/>
      <c r="B253" s="49"/>
      <c r="C253" s="50"/>
      <c r="D253" s="125"/>
      <c r="E253" s="83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102"/>
      <c r="U253" s="1"/>
      <c r="V253" s="1"/>
      <c r="W253" s="1"/>
      <c r="X253" s="1"/>
    </row>
    <row r="254" spans="1:24" ht="12.75" hidden="1" customHeight="1" outlineLevel="1">
      <c r="A254" s="1"/>
      <c r="B254" s="40"/>
      <c r="C254" s="50"/>
      <c r="D254" s="127"/>
      <c r="E254" s="84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98"/>
      <c r="R254" s="103"/>
      <c r="S254" s="103"/>
      <c r="T254" s="98"/>
      <c r="U254" s="1"/>
      <c r="V254" s="1"/>
      <c r="W254" s="1"/>
      <c r="X254" s="1"/>
    </row>
    <row r="255" spans="1:24" ht="12.75" hidden="1" customHeight="1" outlineLevel="1">
      <c r="A255" s="1"/>
      <c r="B255" s="53"/>
      <c r="C255" s="54"/>
      <c r="D255" s="128"/>
      <c r="E255" s="8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104"/>
      <c r="U255" s="1"/>
      <c r="V255" s="1"/>
      <c r="W255" s="1"/>
      <c r="X255" s="1"/>
    </row>
    <row r="256" spans="1:24" ht="12.75" hidden="1" outlineLevel="1">
      <c r="A256" s="1"/>
      <c r="B256" s="40"/>
      <c r="C256" s="27"/>
      <c r="D256" s="126"/>
      <c r="E256" s="81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1"/>
      <c r="V256" s="1"/>
      <c r="W256" s="1"/>
      <c r="X256" s="1"/>
    </row>
    <row r="257" spans="1:24" ht="12.75" hidden="1" outlineLevel="1">
      <c r="A257" s="1"/>
      <c r="B257" s="14"/>
      <c r="C257" s="57"/>
      <c r="D257" s="115"/>
      <c r="E257" s="75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1"/>
      <c r="V257" s="1"/>
      <c r="W257" s="1"/>
      <c r="X257" s="1"/>
    </row>
    <row r="258" spans="1:24" ht="12.75" hidden="1" outlineLevel="1">
      <c r="A258" s="1"/>
      <c r="B258" s="14"/>
      <c r="C258" s="57"/>
      <c r="D258" s="115"/>
      <c r="E258" s="75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1"/>
      <c r="V258" s="1"/>
      <c r="W258" s="1"/>
      <c r="X258" s="1"/>
    </row>
    <row r="259" spans="1:24" ht="12.75" hidden="1" outlineLevel="1">
      <c r="A259" s="1"/>
      <c r="B259" s="14"/>
      <c r="C259" s="32"/>
      <c r="D259" s="115"/>
      <c r="E259" s="75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1"/>
      <c r="V259" s="1"/>
      <c r="W259" s="1"/>
      <c r="X259" s="1"/>
    </row>
    <row r="260" spans="1:24" ht="12.75" hidden="1" outlineLevel="1">
      <c r="A260" s="1"/>
      <c r="B260" s="35"/>
      <c r="C260" s="36"/>
      <c r="D260" s="122"/>
      <c r="E260" s="76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94"/>
      <c r="U260" s="1"/>
      <c r="V260" s="1"/>
      <c r="W260" s="1"/>
      <c r="X260" s="1"/>
    </row>
    <row r="261" spans="1:24" ht="12.75" hidden="1" outlineLevel="1">
      <c r="A261" s="1"/>
      <c r="B261" s="38"/>
      <c r="C261" s="27"/>
      <c r="D261" s="123"/>
      <c r="E261" s="77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95"/>
      <c r="Q261" s="96"/>
      <c r="R261" s="97"/>
      <c r="S261" s="97"/>
      <c r="T261" s="98"/>
      <c r="U261" s="1"/>
      <c r="V261" s="1"/>
      <c r="W261" s="1"/>
      <c r="X261" s="1"/>
    </row>
    <row r="262" spans="1:24" ht="12.75" hidden="1" outlineLevel="1">
      <c r="A262" s="1"/>
      <c r="B262" s="38"/>
      <c r="C262" s="27"/>
      <c r="D262" s="123"/>
      <c r="E262" s="77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95"/>
      <c r="Q262" s="96"/>
      <c r="R262" s="97"/>
      <c r="S262" s="97"/>
      <c r="T262" s="98"/>
      <c r="U262" s="1"/>
      <c r="V262" s="1"/>
      <c r="W262" s="1"/>
      <c r="X262" s="1"/>
    </row>
    <row r="263" spans="1:24" ht="12.75" hidden="1" outlineLevel="1">
      <c r="A263" s="1"/>
      <c r="B263" s="38"/>
      <c r="C263" s="27"/>
      <c r="D263" s="123"/>
      <c r="E263" s="77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95"/>
      <c r="Q263" s="96"/>
      <c r="R263" s="97"/>
      <c r="S263" s="97"/>
      <c r="T263" s="98"/>
      <c r="U263" s="1"/>
      <c r="V263" s="1"/>
      <c r="W263" s="1"/>
      <c r="X263" s="1"/>
    </row>
    <row r="264" spans="1:24" ht="12.75" hidden="1" outlineLevel="1">
      <c r="A264" s="1"/>
      <c r="B264" s="40"/>
      <c r="C264" s="41"/>
      <c r="D264" s="124"/>
      <c r="E264" s="78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99"/>
      <c r="R264" s="42"/>
      <c r="S264" s="42"/>
      <c r="T264" s="99"/>
      <c r="U264" s="1"/>
      <c r="V264" s="1"/>
      <c r="W264" s="1"/>
      <c r="X264" s="1"/>
    </row>
    <row r="265" spans="1:24" ht="12.75" hidden="1" outlineLevel="1">
      <c r="A265" s="1"/>
      <c r="B265" s="43"/>
      <c r="C265" s="44"/>
      <c r="D265" s="125"/>
      <c r="E265" s="80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100"/>
      <c r="U265" s="1"/>
      <c r="V265" s="1"/>
      <c r="W265" s="1"/>
      <c r="X265" s="1"/>
    </row>
    <row r="266" spans="1:24" ht="12.75" hidden="1" outlineLevel="1">
      <c r="A266" s="1"/>
      <c r="B266" s="46"/>
      <c r="C266" s="47"/>
      <c r="D266" s="126"/>
      <c r="E266" s="82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101"/>
      <c r="Q266" s="99"/>
      <c r="R266" s="42"/>
      <c r="S266" s="42"/>
      <c r="T266" s="99"/>
      <c r="U266" s="1"/>
      <c r="V266" s="1"/>
      <c r="W266" s="1"/>
      <c r="X266" s="1"/>
    </row>
    <row r="267" spans="1:24" ht="12.75" hidden="1" outlineLevel="1">
      <c r="A267" s="1"/>
      <c r="B267" s="49"/>
      <c r="C267" s="50"/>
      <c r="D267" s="125"/>
      <c r="E267" s="83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102"/>
      <c r="U267" s="1"/>
      <c r="V267" s="1"/>
      <c r="W267" s="1"/>
      <c r="X267" s="1"/>
    </row>
    <row r="268" spans="1:24" ht="12.75" hidden="1" outlineLevel="1">
      <c r="A268" s="1"/>
      <c r="B268" s="40"/>
      <c r="C268" s="50"/>
      <c r="D268" s="127"/>
      <c r="E268" s="84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98"/>
      <c r="R268" s="103"/>
      <c r="S268" s="103"/>
      <c r="T268" s="98"/>
      <c r="U268" s="1"/>
      <c r="V268" s="1"/>
      <c r="W268" s="1"/>
      <c r="X268" s="1"/>
    </row>
    <row r="269" spans="1:24" ht="12.75" hidden="1" outlineLevel="1">
      <c r="A269" s="1"/>
      <c r="B269" s="53"/>
      <c r="C269" s="54"/>
      <c r="D269" s="128"/>
      <c r="E269" s="8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104"/>
      <c r="U269" s="1"/>
      <c r="V269" s="1"/>
      <c r="W269" s="1"/>
      <c r="X269" s="1"/>
    </row>
    <row r="270" spans="1:24" ht="12.75" hidden="1" outlineLevel="1">
      <c r="A270" s="1"/>
      <c r="B270" s="40"/>
      <c r="C270" s="27"/>
      <c r="D270" s="126"/>
      <c r="E270" s="81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1"/>
      <c r="V270" s="1"/>
      <c r="W270" s="1"/>
      <c r="X270" s="1"/>
    </row>
    <row r="271" spans="1:24" ht="12.75" hidden="1" outlineLevel="1">
      <c r="A271" s="1"/>
      <c r="B271" s="14"/>
      <c r="C271" s="57"/>
      <c r="D271" s="115"/>
      <c r="E271" s="75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1"/>
      <c r="V271" s="1"/>
      <c r="W271" s="1"/>
      <c r="X271" s="1"/>
    </row>
    <row r="272" spans="1:24" ht="12.6" hidden="1" customHeight="1" outlineLevel="1">
      <c r="A272" s="1"/>
      <c r="B272" s="14"/>
      <c r="C272" s="57"/>
      <c r="D272" s="115"/>
      <c r="E272" s="75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1"/>
      <c r="V272" s="1"/>
      <c r="W272" s="1"/>
      <c r="X272" s="1"/>
    </row>
    <row r="273" spans="1:24" ht="12.75" hidden="1" customHeight="1" outlineLevel="1">
      <c r="A273" s="1"/>
      <c r="B273" s="14"/>
      <c r="C273" s="32"/>
      <c r="D273" s="115"/>
      <c r="E273" s="75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1"/>
      <c r="V273" s="1"/>
      <c r="W273" s="1"/>
      <c r="X273" s="1"/>
    </row>
    <row r="274" spans="1:24" ht="12.75" hidden="1" customHeight="1" outlineLevel="1">
      <c r="A274" s="1"/>
      <c r="B274" s="35"/>
      <c r="C274" s="36"/>
      <c r="D274" s="122"/>
      <c r="E274" s="76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94"/>
      <c r="U274" s="1"/>
      <c r="V274" s="1"/>
      <c r="W274" s="1"/>
      <c r="X274" s="1"/>
    </row>
    <row r="275" spans="1:24" ht="12.75" hidden="1" customHeight="1" outlineLevel="1">
      <c r="A275" s="1"/>
      <c r="B275" s="38"/>
      <c r="C275" s="27"/>
      <c r="D275" s="123"/>
      <c r="E275" s="77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95"/>
      <c r="Q275" s="96"/>
      <c r="R275" s="97"/>
      <c r="S275" s="97"/>
      <c r="T275" s="98"/>
      <c r="U275" s="1"/>
      <c r="V275" s="1"/>
      <c r="W275" s="1"/>
      <c r="X275" s="1"/>
    </row>
    <row r="276" spans="1:24" ht="12.75" hidden="1" customHeight="1" outlineLevel="1">
      <c r="A276" s="1"/>
      <c r="B276" s="38"/>
      <c r="C276" s="27"/>
      <c r="D276" s="123"/>
      <c r="E276" s="77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95"/>
      <c r="Q276" s="96"/>
      <c r="R276" s="97"/>
      <c r="S276" s="97"/>
      <c r="T276" s="98"/>
      <c r="U276" s="1"/>
      <c r="V276" s="1"/>
      <c r="W276" s="1"/>
      <c r="X276" s="1"/>
    </row>
    <row r="277" spans="1:24" ht="12.75" hidden="1" customHeight="1" outlineLevel="1">
      <c r="A277" s="1"/>
      <c r="B277" s="38"/>
      <c r="C277" s="27"/>
      <c r="D277" s="123"/>
      <c r="E277" s="77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95"/>
      <c r="Q277" s="96"/>
      <c r="R277" s="97"/>
      <c r="S277" s="97"/>
      <c r="T277" s="98"/>
      <c r="U277" s="1"/>
      <c r="V277" s="1"/>
      <c r="W277" s="1"/>
      <c r="X277" s="1"/>
    </row>
    <row r="278" spans="1:24" ht="12.75" hidden="1" customHeight="1" outlineLevel="1">
      <c r="A278" s="1"/>
      <c r="B278" s="40"/>
      <c r="C278" s="41"/>
      <c r="D278" s="124"/>
      <c r="E278" s="78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99"/>
      <c r="R278" s="42"/>
      <c r="S278" s="42"/>
      <c r="T278" s="99"/>
      <c r="U278" s="1"/>
      <c r="V278" s="1"/>
      <c r="W278" s="1"/>
      <c r="X278" s="1"/>
    </row>
    <row r="279" spans="1:24" ht="12.75" hidden="1" customHeight="1" outlineLevel="1">
      <c r="A279" s="1"/>
      <c r="B279" s="43"/>
      <c r="C279" s="44"/>
      <c r="D279" s="125"/>
      <c r="E279" s="80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100"/>
      <c r="U279" s="1"/>
      <c r="V279" s="1"/>
      <c r="W279" s="1"/>
      <c r="X279" s="1"/>
    </row>
    <row r="280" spans="1:24" ht="12.75" hidden="1" customHeight="1" outlineLevel="1">
      <c r="A280" s="1"/>
      <c r="B280" s="46"/>
      <c r="C280" s="47"/>
      <c r="D280" s="126"/>
      <c r="E280" s="82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101"/>
      <c r="Q280" s="99"/>
      <c r="R280" s="42"/>
      <c r="S280" s="42"/>
      <c r="T280" s="99"/>
      <c r="U280" s="1"/>
      <c r="V280" s="1"/>
      <c r="W280" s="1"/>
      <c r="X280" s="1"/>
    </row>
    <row r="281" spans="1:24" ht="12.75" hidden="1" customHeight="1" outlineLevel="1">
      <c r="A281" s="1"/>
      <c r="B281" s="49"/>
      <c r="C281" s="50"/>
      <c r="D281" s="125"/>
      <c r="E281" s="83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102"/>
      <c r="U281" s="1"/>
      <c r="V281" s="1"/>
      <c r="W281" s="1"/>
      <c r="X281" s="1"/>
    </row>
    <row r="282" spans="1:24" ht="12.75" hidden="1" customHeight="1" outlineLevel="1">
      <c r="A282" s="1"/>
      <c r="B282" s="40"/>
      <c r="C282" s="50"/>
      <c r="D282" s="127"/>
      <c r="E282" s="84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98"/>
      <c r="R282" s="103"/>
      <c r="S282" s="103"/>
      <c r="T282" s="98"/>
      <c r="U282" s="1"/>
      <c r="V282" s="1"/>
      <c r="W282" s="1"/>
      <c r="X282" s="1"/>
    </row>
    <row r="283" spans="1:24" ht="12.75" hidden="1" customHeight="1" outlineLevel="1">
      <c r="A283" s="1"/>
      <c r="B283" s="53"/>
      <c r="C283" s="54"/>
      <c r="D283" s="128"/>
      <c r="E283" s="8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104"/>
      <c r="U283" s="1"/>
      <c r="V283" s="1"/>
      <c r="W283" s="1"/>
      <c r="X283" s="1"/>
    </row>
    <row r="284" spans="1:24" ht="12.75" hidden="1" customHeight="1" outlineLevel="1">
      <c r="A284" s="1"/>
      <c r="B284" s="40"/>
      <c r="C284" s="27"/>
      <c r="D284" s="126"/>
      <c r="E284" s="81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1"/>
      <c r="V284" s="1"/>
      <c r="W284" s="1"/>
      <c r="X284" s="1"/>
    </row>
    <row r="285" spans="1:24" ht="12.75" hidden="1" customHeight="1" outlineLevel="1">
      <c r="A285" s="1"/>
      <c r="B285" s="14"/>
      <c r="C285" s="57"/>
      <c r="D285" s="115"/>
      <c r="E285" s="75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1"/>
      <c r="V285" s="1"/>
      <c r="W285" s="1"/>
      <c r="X285" s="1"/>
    </row>
    <row r="286" spans="1:24" ht="12.75" hidden="1" customHeight="1" outlineLevel="1">
      <c r="A286" s="1"/>
      <c r="B286" s="14"/>
      <c r="C286" s="57"/>
      <c r="D286" s="115"/>
      <c r="E286" s="75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1"/>
      <c r="V286" s="1"/>
      <c r="W286" s="1"/>
      <c r="X286" s="1"/>
    </row>
    <row r="287" spans="1:24" ht="12.75" hidden="1" customHeight="1" outlineLevel="1">
      <c r="A287" s="1"/>
      <c r="B287" s="14"/>
      <c r="C287" s="32"/>
      <c r="D287" s="115"/>
      <c r="E287" s="75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1"/>
      <c r="V287" s="1"/>
      <c r="W287" s="1"/>
      <c r="X287" s="1"/>
    </row>
    <row r="288" spans="1:24" ht="12.75" hidden="1" customHeight="1" outlineLevel="1">
      <c r="A288" s="1"/>
      <c r="B288" s="35"/>
      <c r="C288" s="36"/>
      <c r="D288" s="122"/>
      <c r="E288" s="76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94"/>
      <c r="U288" s="1"/>
      <c r="V288" s="1"/>
      <c r="W288" s="1"/>
      <c r="X288" s="1"/>
    </row>
    <row r="289" spans="1:24" ht="12.75" hidden="1" customHeight="1" outlineLevel="1">
      <c r="A289" s="1"/>
      <c r="B289" s="38"/>
      <c r="C289" s="27"/>
      <c r="D289" s="123"/>
      <c r="E289" s="77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95"/>
      <c r="Q289" s="96"/>
      <c r="R289" s="97"/>
      <c r="S289" s="97"/>
      <c r="T289" s="98"/>
      <c r="U289" s="1"/>
      <c r="V289" s="1"/>
      <c r="W289" s="1"/>
      <c r="X289" s="1"/>
    </row>
    <row r="290" spans="1:24" ht="12.75" hidden="1" customHeight="1" outlineLevel="1">
      <c r="A290" s="1"/>
      <c r="B290" s="38"/>
      <c r="C290" s="27"/>
      <c r="D290" s="123"/>
      <c r="E290" s="77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95"/>
      <c r="Q290" s="96"/>
      <c r="R290" s="97"/>
      <c r="S290" s="97"/>
      <c r="T290" s="98"/>
      <c r="U290" s="1"/>
      <c r="V290" s="1"/>
      <c r="W290" s="1"/>
      <c r="X290" s="1"/>
    </row>
    <row r="291" spans="1:24" ht="12.75" hidden="1" customHeight="1" outlineLevel="1">
      <c r="A291" s="1"/>
      <c r="B291" s="38"/>
      <c r="C291" s="27"/>
      <c r="D291" s="123"/>
      <c r="E291" s="77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95"/>
      <c r="Q291" s="96"/>
      <c r="R291" s="97"/>
      <c r="S291" s="97"/>
      <c r="T291" s="98"/>
      <c r="U291" s="1"/>
      <c r="V291" s="1"/>
      <c r="W291" s="1"/>
      <c r="X291" s="1"/>
    </row>
    <row r="292" spans="1:24" ht="12.75" hidden="1" customHeight="1" outlineLevel="1">
      <c r="A292" s="1"/>
      <c r="B292" s="40"/>
      <c r="C292" s="41"/>
      <c r="D292" s="124"/>
      <c r="E292" s="78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99"/>
      <c r="R292" s="42"/>
      <c r="S292" s="42"/>
      <c r="T292" s="99"/>
      <c r="U292" s="1"/>
      <c r="V292" s="1"/>
      <c r="W292" s="1"/>
      <c r="X292" s="1"/>
    </row>
    <row r="293" spans="1:24" ht="12.75" hidden="1" customHeight="1" outlineLevel="1">
      <c r="A293" s="1"/>
      <c r="B293" s="43"/>
      <c r="C293" s="44"/>
      <c r="D293" s="125"/>
      <c r="E293" s="80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100"/>
      <c r="U293" s="1"/>
      <c r="V293" s="1"/>
      <c r="W293" s="1"/>
      <c r="X293" s="1"/>
    </row>
    <row r="294" spans="1:24" ht="12.75" hidden="1" customHeight="1" outlineLevel="1">
      <c r="A294" s="1"/>
      <c r="B294" s="46"/>
      <c r="C294" s="47"/>
      <c r="D294" s="126"/>
      <c r="E294" s="82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101"/>
      <c r="Q294" s="99"/>
      <c r="R294" s="42"/>
      <c r="S294" s="42"/>
      <c r="T294" s="99"/>
      <c r="U294" s="1"/>
      <c r="V294" s="1"/>
      <c r="W294" s="1"/>
      <c r="X294" s="1"/>
    </row>
    <row r="295" spans="1:24" ht="12.75" hidden="1" customHeight="1" outlineLevel="1">
      <c r="A295" s="1"/>
      <c r="B295" s="49"/>
      <c r="C295" s="50"/>
      <c r="D295" s="125"/>
      <c r="E295" s="83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102"/>
      <c r="U295" s="1"/>
      <c r="V295" s="1"/>
      <c r="W295" s="1"/>
      <c r="X295" s="1"/>
    </row>
    <row r="296" spans="1:24" ht="12.75" hidden="1" customHeight="1" outlineLevel="1">
      <c r="A296" s="1"/>
      <c r="B296" s="40"/>
      <c r="C296" s="50"/>
      <c r="D296" s="127"/>
      <c r="E296" s="84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98"/>
      <c r="R296" s="103"/>
      <c r="S296" s="103"/>
      <c r="T296" s="98"/>
      <c r="U296" s="1"/>
      <c r="V296" s="1"/>
      <c r="W296" s="1"/>
      <c r="X296" s="1"/>
    </row>
    <row r="297" spans="1:24" ht="12.75" hidden="1" customHeight="1" outlineLevel="1">
      <c r="A297" s="1"/>
      <c r="B297" s="53"/>
      <c r="C297" s="54"/>
      <c r="D297" s="128"/>
      <c r="E297" s="8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104"/>
      <c r="U297" s="1"/>
      <c r="V297" s="1"/>
      <c r="W297" s="1"/>
      <c r="X297" s="1"/>
    </row>
    <row r="298" spans="1:24" ht="12.75" hidden="1" customHeight="1" outlineLevel="1">
      <c r="A298" s="1"/>
      <c r="B298" s="40"/>
      <c r="C298" s="27"/>
      <c r="D298" s="126"/>
      <c r="E298" s="81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1"/>
      <c r="V298" s="1"/>
      <c r="W298" s="1"/>
      <c r="X298" s="1"/>
    </row>
    <row r="299" spans="1:24" ht="12.75" hidden="1" customHeight="1" outlineLevel="1">
      <c r="A299" s="1"/>
      <c r="B299" s="14"/>
      <c r="C299" s="57"/>
      <c r="D299" s="115"/>
      <c r="E299" s="75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1"/>
      <c r="V299" s="1"/>
      <c r="W299" s="1"/>
      <c r="X299" s="1"/>
    </row>
    <row r="300" spans="1:24" ht="12.75" hidden="1" customHeight="1" outlineLevel="1">
      <c r="A300" s="1"/>
      <c r="B300" s="14"/>
      <c r="C300" s="57"/>
      <c r="D300" s="115"/>
      <c r="E300" s="75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1"/>
      <c r="V300" s="1"/>
      <c r="W300" s="1"/>
      <c r="X300" s="1"/>
    </row>
    <row r="301" spans="1:24" ht="12.75" hidden="1" customHeight="1" outlineLevel="1">
      <c r="A301" s="1"/>
      <c r="B301" s="14"/>
      <c r="C301" s="32"/>
      <c r="D301" s="115"/>
      <c r="E301" s="75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1"/>
      <c r="V301" s="1"/>
      <c r="W301" s="1"/>
      <c r="X301" s="1"/>
    </row>
    <row r="302" spans="1:24" ht="12.75" hidden="1" customHeight="1" outlineLevel="1">
      <c r="A302" s="1"/>
      <c r="B302" s="35"/>
      <c r="C302" s="36"/>
      <c r="D302" s="122"/>
      <c r="E302" s="76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94"/>
      <c r="U302" s="1"/>
      <c r="V302" s="1"/>
      <c r="W302" s="1"/>
      <c r="X302" s="1"/>
    </row>
    <row r="303" spans="1:24" ht="12.75" hidden="1" customHeight="1" outlineLevel="1">
      <c r="A303" s="1"/>
      <c r="B303" s="38"/>
      <c r="C303" s="27"/>
      <c r="D303" s="123"/>
      <c r="E303" s="77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95"/>
      <c r="Q303" s="96"/>
      <c r="R303" s="97"/>
      <c r="S303" s="97"/>
      <c r="T303" s="98"/>
      <c r="U303" s="1"/>
      <c r="V303" s="1"/>
      <c r="W303" s="1"/>
      <c r="X303" s="1"/>
    </row>
    <row r="304" spans="1:24" ht="12.75" hidden="1" customHeight="1" outlineLevel="1">
      <c r="A304" s="1"/>
      <c r="B304" s="38"/>
      <c r="C304" s="27"/>
      <c r="D304" s="123"/>
      <c r="E304" s="77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95"/>
      <c r="Q304" s="96"/>
      <c r="R304" s="97"/>
      <c r="S304" s="97"/>
      <c r="T304" s="98"/>
      <c r="U304" s="1"/>
      <c r="V304" s="1"/>
      <c r="W304" s="1"/>
      <c r="X304" s="1"/>
    </row>
    <row r="305" spans="1:24" ht="12.75" hidden="1" customHeight="1" outlineLevel="1">
      <c r="A305" s="1"/>
      <c r="B305" s="38"/>
      <c r="C305" s="27"/>
      <c r="D305" s="123"/>
      <c r="E305" s="77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95"/>
      <c r="Q305" s="96"/>
      <c r="R305" s="97"/>
      <c r="S305" s="97"/>
      <c r="T305" s="98"/>
      <c r="U305" s="1"/>
      <c r="V305" s="1"/>
      <c r="W305" s="1"/>
      <c r="X305" s="1"/>
    </row>
    <row r="306" spans="1:24" ht="12.75" hidden="1" customHeight="1" outlineLevel="1">
      <c r="A306" s="1"/>
      <c r="B306" s="40"/>
      <c r="C306" s="41"/>
      <c r="D306" s="124"/>
      <c r="E306" s="78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99"/>
      <c r="R306" s="42"/>
      <c r="S306" s="42"/>
      <c r="T306" s="99"/>
      <c r="U306" s="1"/>
      <c r="V306" s="1"/>
      <c r="W306" s="1"/>
      <c r="X306" s="1"/>
    </row>
    <row r="307" spans="1:24" ht="12.75" hidden="1" customHeight="1" outlineLevel="1">
      <c r="A307" s="1"/>
      <c r="B307" s="43"/>
      <c r="C307" s="44"/>
      <c r="D307" s="125"/>
      <c r="E307" s="80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100"/>
      <c r="U307" s="1"/>
      <c r="V307" s="1"/>
      <c r="W307" s="1"/>
      <c r="X307" s="1"/>
    </row>
    <row r="308" spans="1:24" ht="12.75" hidden="1" customHeight="1" outlineLevel="1">
      <c r="A308" s="1"/>
      <c r="B308" s="46"/>
      <c r="C308" s="47"/>
      <c r="D308" s="126"/>
      <c r="E308" s="82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101"/>
      <c r="Q308" s="99"/>
      <c r="R308" s="42"/>
      <c r="S308" s="42"/>
      <c r="T308" s="99"/>
      <c r="U308" s="1"/>
      <c r="V308" s="1"/>
      <c r="W308" s="1"/>
      <c r="X308" s="1"/>
    </row>
    <row r="309" spans="1:24" ht="12.75" hidden="1" customHeight="1" outlineLevel="1">
      <c r="A309" s="1"/>
      <c r="B309" s="49"/>
      <c r="C309" s="50"/>
      <c r="D309" s="125"/>
      <c r="E309" s="83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102"/>
      <c r="U309" s="1"/>
      <c r="V309" s="1"/>
      <c r="W309" s="1"/>
      <c r="X309" s="1"/>
    </row>
    <row r="310" spans="1:24" ht="12.75" hidden="1" customHeight="1" outlineLevel="1">
      <c r="A310" s="1"/>
      <c r="B310" s="40"/>
      <c r="C310" s="50"/>
      <c r="D310" s="127"/>
      <c r="E310" s="84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98"/>
      <c r="R310" s="103"/>
      <c r="S310" s="103"/>
      <c r="T310" s="98"/>
      <c r="U310" s="1"/>
      <c r="V310" s="1"/>
      <c r="W310" s="1"/>
      <c r="X310" s="1"/>
    </row>
    <row r="311" spans="1:24" ht="12.75" hidden="1" customHeight="1" outlineLevel="1">
      <c r="A311" s="1"/>
      <c r="B311" s="53"/>
      <c r="C311" s="54"/>
      <c r="D311" s="128"/>
      <c r="E311" s="8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104"/>
      <c r="U311" s="1"/>
      <c r="V311" s="1"/>
      <c r="W311" s="1"/>
      <c r="X311" s="1"/>
    </row>
    <row r="312" spans="1:24" ht="12.75" hidden="1" customHeight="1" outlineLevel="1">
      <c r="A312" s="1"/>
      <c r="B312" s="40"/>
      <c r="C312" s="27"/>
      <c r="D312" s="126"/>
      <c r="E312" s="81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1"/>
      <c r="V312" s="1"/>
      <c r="W312" s="1"/>
      <c r="X312" s="1"/>
    </row>
    <row r="313" spans="1:24" ht="12.75" hidden="1" customHeight="1" outlineLevel="1">
      <c r="A313" s="1"/>
      <c r="B313" s="14"/>
      <c r="C313" s="57"/>
      <c r="D313" s="115"/>
      <c r="E313" s="75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1"/>
      <c r="V313" s="1"/>
      <c r="W313" s="1"/>
      <c r="X313" s="1"/>
    </row>
    <row r="314" spans="1:24" ht="12.75" hidden="1" customHeight="1" outlineLevel="1">
      <c r="A314" s="1"/>
      <c r="B314" s="14"/>
      <c r="C314" s="57"/>
      <c r="D314" s="115"/>
      <c r="E314" s="75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1"/>
      <c r="V314" s="1"/>
      <c r="W314" s="1"/>
      <c r="X314" s="1"/>
    </row>
    <row r="315" spans="1:24" ht="12.75" hidden="1" customHeight="1" outlineLevel="1">
      <c r="A315" s="1"/>
      <c r="B315" s="14"/>
      <c r="C315" s="32"/>
      <c r="D315" s="115"/>
      <c r="E315" s="75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1"/>
      <c r="V315" s="1"/>
      <c r="W315" s="1"/>
      <c r="X315" s="1"/>
    </row>
    <row r="316" spans="1:24" ht="12.75" hidden="1" customHeight="1" outlineLevel="1">
      <c r="A316" s="1"/>
      <c r="B316" s="35"/>
      <c r="C316" s="36"/>
      <c r="D316" s="122"/>
      <c r="E316" s="76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94"/>
      <c r="U316" s="1"/>
      <c r="V316" s="1"/>
      <c r="W316" s="1"/>
      <c r="X316" s="1"/>
    </row>
    <row r="317" spans="1:24" ht="12.75" hidden="1" customHeight="1" outlineLevel="1">
      <c r="A317" s="1"/>
      <c r="B317" s="38"/>
      <c r="C317" s="27"/>
      <c r="D317" s="123"/>
      <c r="E317" s="77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95"/>
      <c r="Q317" s="96"/>
      <c r="R317" s="97"/>
      <c r="S317" s="97"/>
      <c r="T317" s="98"/>
      <c r="U317" s="1"/>
      <c r="V317" s="1"/>
      <c r="W317" s="1"/>
      <c r="X317" s="1"/>
    </row>
    <row r="318" spans="1:24" ht="12.75" hidden="1" customHeight="1" outlineLevel="1">
      <c r="A318" s="1"/>
      <c r="B318" s="38"/>
      <c r="C318" s="27"/>
      <c r="D318" s="123"/>
      <c r="E318" s="77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95"/>
      <c r="Q318" s="96"/>
      <c r="R318" s="97"/>
      <c r="S318" s="97"/>
      <c r="T318" s="98"/>
      <c r="U318" s="1"/>
      <c r="V318" s="1"/>
      <c r="W318" s="1"/>
      <c r="X318" s="1"/>
    </row>
    <row r="319" spans="1:24" ht="12.75" hidden="1" customHeight="1" outlineLevel="1">
      <c r="A319" s="1"/>
      <c r="B319" s="38"/>
      <c r="C319" s="27"/>
      <c r="D319" s="123"/>
      <c r="E319" s="77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95"/>
      <c r="Q319" s="96"/>
      <c r="R319" s="97"/>
      <c r="S319" s="97"/>
      <c r="T319" s="98"/>
      <c r="U319" s="1"/>
      <c r="V319" s="1"/>
      <c r="W319" s="1"/>
      <c r="X319" s="1"/>
    </row>
    <row r="320" spans="1:24" ht="12.75" hidden="1" customHeight="1" outlineLevel="1">
      <c r="A320" s="1"/>
      <c r="B320" s="40"/>
      <c r="C320" s="41"/>
      <c r="D320" s="124"/>
      <c r="E320" s="78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99"/>
      <c r="R320" s="42"/>
      <c r="S320" s="42"/>
      <c r="T320" s="99"/>
      <c r="U320" s="1"/>
      <c r="V320" s="1"/>
      <c r="W320" s="1"/>
      <c r="X320" s="1"/>
    </row>
    <row r="321" spans="1:24" ht="12.75" hidden="1" customHeight="1" outlineLevel="1">
      <c r="A321" s="1"/>
      <c r="B321" s="43"/>
      <c r="C321" s="44"/>
      <c r="D321" s="125"/>
      <c r="E321" s="80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100"/>
      <c r="U321" s="1"/>
      <c r="V321" s="1"/>
      <c r="W321" s="1"/>
      <c r="X321" s="1"/>
    </row>
    <row r="322" spans="1:24" ht="12.75" hidden="1" customHeight="1" outlineLevel="1">
      <c r="A322" s="1"/>
      <c r="B322" s="46"/>
      <c r="C322" s="47"/>
      <c r="D322" s="126"/>
      <c r="E322" s="82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101"/>
      <c r="Q322" s="99"/>
      <c r="R322" s="42"/>
      <c r="S322" s="42"/>
      <c r="T322" s="99"/>
      <c r="U322" s="1"/>
      <c r="V322" s="1"/>
      <c r="W322" s="1"/>
      <c r="X322" s="1"/>
    </row>
    <row r="323" spans="1:24" ht="12.75" hidden="1" customHeight="1" outlineLevel="1">
      <c r="A323" s="1"/>
      <c r="B323" s="49"/>
      <c r="C323" s="50"/>
      <c r="D323" s="125"/>
      <c r="E323" s="83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102"/>
      <c r="U323" s="1"/>
      <c r="V323" s="1"/>
      <c r="W323" s="1"/>
      <c r="X323" s="1"/>
    </row>
    <row r="324" spans="1:24" ht="12.75" hidden="1" customHeight="1" outlineLevel="1">
      <c r="A324" s="1"/>
      <c r="B324" s="40"/>
      <c r="C324" s="50"/>
      <c r="D324" s="127"/>
      <c r="E324" s="84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98"/>
      <c r="R324" s="103"/>
      <c r="S324" s="103"/>
      <c r="T324" s="98"/>
      <c r="U324" s="1"/>
      <c r="V324" s="1"/>
      <c r="W324" s="1"/>
      <c r="X324" s="1"/>
    </row>
    <row r="325" spans="1:24" ht="12.75" hidden="1" customHeight="1" outlineLevel="1">
      <c r="A325" s="1"/>
      <c r="B325" s="53"/>
      <c r="C325" s="54"/>
      <c r="D325" s="128"/>
      <c r="E325" s="8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104"/>
      <c r="U325" s="1"/>
      <c r="V325" s="1"/>
      <c r="W325" s="1"/>
      <c r="X325" s="1"/>
    </row>
    <row r="326" spans="1:24" ht="12.75" hidden="1" customHeight="1" outlineLevel="1">
      <c r="A326" s="1"/>
      <c r="B326" s="40"/>
      <c r="C326" s="27"/>
      <c r="D326" s="126"/>
      <c r="E326" s="81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1"/>
      <c r="V326" s="1"/>
      <c r="W326" s="1"/>
      <c r="X326" s="1"/>
    </row>
    <row r="327" spans="1:24" ht="12.75" hidden="1" customHeight="1" outlineLevel="1">
      <c r="A327" s="1"/>
      <c r="B327" s="14"/>
      <c r="C327" s="57"/>
      <c r="D327" s="115"/>
      <c r="E327" s="75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1"/>
      <c r="V327" s="1"/>
      <c r="W327" s="1"/>
      <c r="X327" s="1"/>
    </row>
    <row r="328" spans="1:24" ht="12.75" hidden="1" customHeight="1" outlineLevel="1">
      <c r="A328" s="1"/>
      <c r="B328" s="14"/>
      <c r="C328" s="57"/>
      <c r="D328" s="115"/>
      <c r="E328" s="75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1"/>
      <c r="V328" s="1"/>
      <c r="W328" s="1"/>
      <c r="X328" s="1"/>
    </row>
    <row r="329" spans="1:24" ht="12.75" hidden="1" customHeight="1" outlineLevel="1">
      <c r="A329" s="1"/>
      <c r="B329" s="14"/>
      <c r="C329" s="32"/>
      <c r="D329" s="115"/>
      <c r="E329" s="75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1"/>
      <c r="V329" s="1"/>
      <c r="W329" s="1"/>
      <c r="X329" s="1"/>
    </row>
    <row r="330" spans="1:24" ht="12.75" hidden="1" customHeight="1" outlineLevel="1">
      <c r="A330" s="1"/>
      <c r="B330" s="35"/>
      <c r="C330" s="36"/>
      <c r="D330" s="122"/>
      <c r="E330" s="76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94"/>
      <c r="U330" s="1"/>
      <c r="V330" s="1"/>
      <c r="W330" s="1"/>
      <c r="X330" s="1"/>
    </row>
    <row r="331" spans="1:24" ht="12.75" hidden="1" customHeight="1" outlineLevel="1">
      <c r="A331" s="1"/>
      <c r="B331" s="38"/>
      <c r="C331" s="27"/>
      <c r="D331" s="123"/>
      <c r="E331" s="77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95"/>
      <c r="Q331" s="96"/>
      <c r="R331" s="97"/>
      <c r="S331" s="97"/>
      <c r="T331" s="98"/>
      <c r="U331" s="1"/>
      <c r="V331" s="1"/>
      <c r="W331" s="1"/>
      <c r="X331" s="1"/>
    </row>
    <row r="332" spans="1:24" ht="12.75" hidden="1" customHeight="1" outlineLevel="1">
      <c r="A332" s="1"/>
      <c r="B332" s="38"/>
      <c r="C332" s="27"/>
      <c r="D332" s="123"/>
      <c r="E332" s="77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95"/>
      <c r="Q332" s="96"/>
      <c r="R332" s="97"/>
      <c r="S332" s="97"/>
      <c r="T332" s="98"/>
      <c r="U332" s="1"/>
      <c r="V332" s="1"/>
      <c r="W332" s="1"/>
      <c r="X332" s="1"/>
    </row>
    <row r="333" spans="1:24" ht="12.75" hidden="1" customHeight="1" outlineLevel="1">
      <c r="A333" s="1"/>
      <c r="B333" s="38"/>
      <c r="C333" s="27"/>
      <c r="D333" s="123"/>
      <c r="E333" s="77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95"/>
      <c r="Q333" s="96"/>
      <c r="R333" s="97"/>
      <c r="S333" s="97"/>
      <c r="T333" s="98"/>
      <c r="U333" s="1"/>
      <c r="V333" s="1"/>
      <c r="W333" s="1"/>
      <c r="X333" s="1"/>
    </row>
    <row r="334" spans="1:24" ht="12.75" hidden="1" customHeight="1" outlineLevel="1">
      <c r="A334" s="1"/>
      <c r="B334" s="40"/>
      <c r="C334" s="41"/>
      <c r="D334" s="124"/>
      <c r="E334" s="78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99"/>
      <c r="R334" s="42"/>
      <c r="S334" s="42"/>
      <c r="T334" s="99"/>
      <c r="U334" s="1"/>
      <c r="V334" s="1"/>
      <c r="W334" s="1"/>
      <c r="X334" s="1"/>
    </row>
    <row r="335" spans="1:24" ht="12.75" hidden="1" customHeight="1" outlineLevel="1">
      <c r="A335" s="1"/>
      <c r="B335" s="43"/>
      <c r="C335" s="44"/>
      <c r="D335" s="125"/>
      <c r="E335" s="80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100"/>
      <c r="U335" s="1"/>
      <c r="V335" s="1"/>
      <c r="W335" s="1"/>
      <c r="X335" s="1"/>
    </row>
    <row r="336" spans="1:24" ht="12.75" hidden="1" customHeight="1" outlineLevel="1">
      <c r="A336" s="1"/>
      <c r="B336" s="46"/>
      <c r="C336" s="47"/>
      <c r="D336" s="126"/>
      <c r="E336" s="82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101"/>
      <c r="Q336" s="99"/>
      <c r="R336" s="42"/>
      <c r="S336" s="42"/>
      <c r="T336" s="99"/>
      <c r="U336" s="1"/>
      <c r="V336" s="1"/>
      <c r="W336" s="1"/>
      <c r="X336" s="1"/>
    </row>
    <row r="337" spans="1:24" ht="12.75" hidden="1" customHeight="1" outlineLevel="1">
      <c r="A337" s="1"/>
      <c r="B337" s="49"/>
      <c r="C337" s="50"/>
      <c r="D337" s="125"/>
      <c r="E337" s="83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102"/>
      <c r="U337" s="1"/>
      <c r="V337" s="1"/>
      <c r="W337" s="1"/>
      <c r="X337" s="1"/>
    </row>
    <row r="338" spans="1:24" ht="12.75" hidden="1" customHeight="1" outlineLevel="1">
      <c r="A338" s="1"/>
      <c r="B338" s="40"/>
      <c r="C338" s="50"/>
      <c r="D338" s="127"/>
      <c r="E338" s="84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98"/>
      <c r="R338" s="103"/>
      <c r="S338" s="103"/>
      <c r="T338" s="98"/>
      <c r="U338" s="1"/>
      <c r="V338" s="1"/>
      <c r="W338" s="1"/>
      <c r="X338" s="1"/>
    </row>
    <row r="339" spans="1:24" ht="12.75" hidden="1" customHeight="1" outlineLevel="1">
      <c r="A339" s="1"/>
      <c r="B339" s="53"/>
      <c r="C339" s="54"/>
      <c r="D339" s="128"/>
      <c r="E339" s="8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104"/>
      <c r="U339" s="1"/>
      <c r="V339" s="1"/>
      <c r="W339" s="1"/>
      <c r="X339" s="1"/>
    </row>
    <row r="340" spans="1:24" ht="12.75" hidden="1" customHeight="1" outlineLevel="1">
      <c r="A340" s="1"/>
      <c r="B340" s="40"/>
      <c r="C340" s="27"/>
      <c r="D340" s="126"/>
      <c r="E340" s="81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1"/>
      <c r="V340" s="1"/>
      <c r="W340" s="1"/>
      <c r="X340" s="1"/>
    </row>
    <row r="341" spans="1:24" ht="12.75" hidden="1" customHeight="1" outlineLevel="1">
      <c r="A341" s="1"/>
      <c r="B341" s="14"/>
      <c r="C341" s="57"/>
      <c r="D341" s="115"/>
      <c r="E341" s="75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1"/>
      <c r="V341" s="1"/>
      <c r="W341" s="1"/>
      <c r="X341" s="1"/>
    </row>
    <row r="342" spans="1:24" ht="12.75" hidden="1" customHeight="1" outlineLevel="1">
      <c r="A342" s="1"/>
      <c r="B342" s="14"/>
      <c r="C342" s="57"/>
      <c r="D342" s="115"/>
      <c r="E342" s="75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1"/>
      <c r="V342" s="1"/>
      <c r="W342" s="1"/>
      <c r="X342" s="1"/>
    </row>
    <row r="343" spans="1:24" ht="12.75" hidden="1" customHeight="1" outlineLevel="1">
      <c r="A343" s="1"/>
      <c r="B343" s="14"/>
      <c r="C343" s="32"/>
      <c r="D343" s="115"/>
      <c r="E343" s="75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1"/>
      <c r="V343" s="1"/>
      <c r="W343" s="1"/>
      <c r="X343" s="1"/>
    </row>
    <row r="344" spans="1:24" ht="12.75" hidden="1" customHeight="1" outlineLevel="1">
      <c r="A344" s="1"/>
      <c r="B344" s="35"/>
      <c r="C344" s="36"/>
      <c r="D344" s="122"/>
      <c r="E344" s="76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94"/>
      <c r="U344" s="1"/>
      <c r="V344" s="1"/>
      <c r="W344" s="1"/>
      <c r="X344" s="1"/>
    </row>
    <row r="345" spans="1:24" ht="12.75" hidden="1" customHeight="1" outlineLevel="1">
      <c r="A345" s="1"/>
      <c r="B345" s="38"/>
      <c r="C345" s="27"/>
      <c r="D345" s="123"/>
      <c r="E345" s="77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95"/>
      <c r="Q345" s="96"/>
      <c r="R345" s="97"/>
      <c r="S345" s="97"/>
      <c r="T345" s="98"/>
      <c r="U345" s="1"/>
      <c r="V345" s="1"/>
      <c r="W345" s="1"/>
      <c r="X345" s="1"/>
    </row>
    <row r="346" spans="1:24" ht="12.75" hidden="1" customHeight="1" outlineLevel="1">
      <c r="A346" s="1"/>
      <c r="B346" s="38"/>
      <c r="C346" s="27"/>
      <c r="D346" s="123"/>
      <c r="E346" s="77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95"/>
      <c r="Q346" s="96"/>
      <c r="R346" s="97"/>
      <c r="S346" s="97"/>
      <c r="T346" s="98"/>
      <c r="U346" s="1"/>
      <c r="V346" s="1"/>
      <c r="W346" s="1"/>
      <c r="X346" s="1"/>
    </row>
    <row r="347" spans="1:24" ht="12.75" hidden="1" customHeight="1" outlineLevel="1">
      <c r="A347" s="1"/>
      <c r="B347" s="38"/>
      <c r="C347" s="27"/>
      <c r="D347" s="123"/>
      <c r="E347" s="77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95"/>
      <c r="Q347" s="96"/>
      <c r="R347" s="97"/>
      <c r="S347" s="97"/>
      <c r="T347" s="98"/>
      <c r="U347" s="1"/>
      <c r="V347" s="1"/>
      <c r="W347" s="1"/>
      <c r="X347" s="1"/>
    </row>
    <row r="348" spans="1:24" ht="12.75" hidden="1" customHeight="1" outlineLevel="1">
      <c r="A348" s="1"/>
      <c r="B348" s="40"/>
      <c r="C348" s="41"/>
      <c r="D348" s="124"/>
      <c r="E348" s="78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99"/>
      <c r="R348" s="42"/>
      <c r="S348" s="42"/>
      <c r="T348" s="99"/>
      <c r="U348" s="1"/>
      <c r="V348" s="1"/>
      <c r="W348" s="1"/>
      <c r="X348" s="1"/>
    </row>
    <row r="349" spans="1:24" ht="12.75" hidden="1" customHeight="1" outlineLevel="1">
      <c r="A349" s="1"/>
      <c r="B349" s="43"/>
      <c r="C349" s="44"/>
      <c r="D349" s="125"/>
      <c r="E349" s="80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100"/>
      <c r="U349" s="1"/>
      <c r="V349" s="1"/>
      <c r="W349" s="1"/>
      <c r="X349" s="1"/>
    </row>
    <row r="350" spans="1:24" ht="12.75" hidden="1" customHeight="1" outlineLevel="1">
      <c r="A350" s="1"/>
      <c r="B350" s="46"/>
      <c r="C350" s="47"/>
      <c r="D350" s="126"/>
      <c r="E350" s="82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101"/>
      <c r="Q350" s="99"/>
      <c r="R350" s="42"/>
      <c r="S350" s="42"/>
      <c r="T350" s="99"/>
      <c r="U350" s="1"/>
      <c r="V350" s="1"/>
      <c r="W350" s="1"/>
      <c r="X350" s="1"/>
    </row>
    <row r="351" spans="1:24" ht="12.75" hidden="1" customHeight="1" outlineLevel="1">
      <c r="A351" s="1"/>
      <c r="B351" s="49"/>
      <c r="C351" s="50"/>
      <c r="D351" s="125"/>
      <c r="E351" s="83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102"/>
      <c r="U351" s="1"/>
      <c r="V351" s="1"/>
      <c r="W351" s="1"/>
      <c r="X351" s="1"/>
    </row>
    <row r="352" spans="1:24" ht="12.75" hidden="1" customHeight="1" outlineLevel="1">
      <c r="A352" s="1"/>
      <c r="B352" s="40"/>
      <c r="C352" s="50"/>
      <c r="D352" s="127"/>
      <c r="E352" s="84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98"/>
      <c r="R352" s="103"/>
      <c r="S352" s="103"/>
      <c r="T352" s="98"/>
      <c r="U352" s="1"/>
      <c r="V352" s="1"/>
      <c r="W352" s="1"/>
      <c r="X352" s="1"/>
    </row>
    <row r="353" spans="1:24" ht="12.75" hidden="1" customHeight="1" outlineLevel="1">
      <c r="A353" s="1"/>
      <c r="B353" s="53"/>
      <c r="C353" s="54"/>
      <c r="D353" s="128"/>
      <c r="E353" s="8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104"/>
      <c r="U353" s="1"/>
      <c r="V353" s="1"/>
      <c r="W353" s="1"/>
      <c r="X353" s="1"/>
    </row>
    <row r="354" spans="1:24" ht="12.75" hidden="1" customHeight="1" outlineLevel="1">
      <c r="A354" s="1"/>
      <c r="B354" s="40"/>
      <c r="C354" s="27"/>
      <c r="D354" s="126"/>
      <c r="E354" s="81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1"/>
      <c r="V354" s="1"/>
      <c r="W354" s="1"/>
      <c r="X354" s="1"/>
    </row>
    <row r="355" spans="1:24" ht="12.75" hidden="1" customHeight="1" outlineLevel="1">
      <c r="A355" s="1"/>
      <c r="B355" s="14"/>
      <c r="C355" s="57"/>
      <c r="D355" s="115"/>
      <c r="E355" s="75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1"/>
      <c r="V355" s="1"/>
      <c r="W355" s="1"/>
      <c r="X355" s="1"/>
    </row>
    <row r="356" spans="1:24" ht="12.75" hidden="1" customHeight="1" outlineLevel="1">
      <c r="A356" s="1"/>
      <c r="B356" s="14"/>
      <c r="C356" s="57"/>
      <c r="D356" s="115"/>
      <c r="E356" s="75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1"/>
      <c r="V356" s="1"/>
      <c r="W356" s="1"/>
      <c r="X356" s="1"/>
    </row>
    <row r="357" spans="1:24" ht="12.75" hidden="1" customHeight="1" outlineLevel="1">
      <c r="A357" s="1"/>
      <c r="B357" s="14"/>
      <c r="C357" s="32"/>
      <c r="D357" s="115"/>
      <c r="E357" s="75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1"/>
      <c r="V357" s="1"/>
      <c r="W357" s="1"/>
      <c r="X357" s="1"/>
    </row>
    <row r="358" spans="1:24" ht="12.75" hidden="1" customHeight="1" outlineLevel="1">
      <c r="A358" s="1"/>
      <c r="B358" s="35"/>
      <c r="C358" s="36"/>
      <c r="D358" s="122"/>
      <c r="E358" s="76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94"/>
      <c r="U358" s="1"/>
      <c r="V358" s="1"/>
      <c r="W358" s="1"/>
      <c r="X358" s="1"/>
    </row>
    <row r="359" spans="1:24" ht="12.75" hidden="1" customHeight="1" outlineLevel="1">
      <c r="A359" s="1"/>
      <c r="B359" s="38"/>
      <c r="C359" s="27"/>
      <c r="D359" s="123"/>
      <c r="E359" s="77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95"/>
      <c r="Q359" s="96"/>
      <c r="R359" s="97"/>
      <c r="S359" s="97"/>
      <c r="T359" s="98"/>
      <c r="U359" s="1"/>
      <c r="V359" s="1"/>
      <c r="W359" s="1"/>
      <c r="X359" s="1"/>
    </row>
    <row r="360" spans="1:24" ht="12.75" hidden="1" customHeight="1" outlineLevel="1">
      <c r="A360" s="1"/>
      <c r="B360" s="38"/>
      <c r="C360" s="27"/>
      <c r="D360" s="123"/>
      <c r="E360" s="77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95"/>
      <c r="Q360" s="96"/>
      <c r="R360" s="97"/>
      <c r="S360" s="97"/>
      <c r="T360" s="98"/>
      <c r="U360" s="1"/>
      <c r="V360" s="1"/>
      <c r="W360" s="1"/>
      <c r="X360" s="1"/>
    </row>
    <row r="361" spans="1:24" ht="12.75" hidden="1" customHeight="1" outlineLevel="1">
      <c r="A361" s="1"/>
      <c r="B361" s="38"/>
      <c r="C361" s="27"/>
      <c r="D361" s="123"/>
      <c r="E361" s="77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95"/>
      <c r="Q361" s="96"/>
      <c r="R361" s="97"/>
      <c r="S361" s="97"/>
      <c r="T361" s="98"/>
      <c r="U361" s="1"/>
      <c r="V361" s="1"/>
      <c r="W361" s="1"/>
      <c r="X361" s="1"/>
    </row>
    <row r="362" spans="1:24" ht="12.75" hidden="1" customHeight="1" outlineLevel="1">
      <c r="A362" s="1"/>
      <c r="B362" s="40"/>
      <c r="C362" s="41"/>
      <c r="D362" s="124"/>
      <c r="E362" s="78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99"/>
      <c r="R362" s="42"/>
      <c r="S362" s="42"/>
      <c r="T362" s="99"/>
      <c r="U362" s="1"/>
      <c r="V362" s="1"/>
      <c r="W362" s="1"/>
      <c r="X362" s="1"/>
    </row>
    <row r="363" spans="1:24" ht="12.75" hidden="1" customHeight="1" outlineLevel="1">
      <c r="A363" s="1"/>
      <c r="B363" s="43"/>
      <c r="C363" s="44"/>
      <c r="D363" s="125"/>
      <c r="E363" s="80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100"/>
      <c r="U363" s="1"/>
      <c r="V363" s="1"/>
      <c r="W363" s="1"/>
      <c r="X363" s="1"/>
    </row>
    <row r="364" spans="1:24" ht="12.75" hidden="1" customHeight="1" outlineLevel="1">
      <c r="A364" s="1"/>
      <c r="B364" s="46"/>
      <c r="C364" s="47"/>
      <c r="D364" s="126"/>
      <c r="E364" s="82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101"/>
      <c r="Q364" s="99"/>
      <c r="R364" s="42"/>
      <c r="S364" s="42"/>
      <c r="T364" s="99"/>
      <c r="U364" s="1"/>
      <c r="V364" s="1"/>
      <c r="W364" s="1"/>
      <c r="X364" s="1"/>
    </row>
    <row r="365" spans="1:24" ht="12.75" hidden="1" customHeight="1" outlineLevel="1">
      <c r="A365" s="1"/>
      <c r="B365" s="49"/>
      <c r="C365" s="50"/>
      <c r="D365" s="125"/>
      <c r="E365" s="83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102"/>
      <c r="U365" s="1"/>
      <c r="V365" s="1"/>
      <c r="W365" s="1"/>
      <c r="X365" s="1"/>
    </row>
    <row r="366" spans="1:24" ht="12.75" hidden="1" customHeight="1" outlineLevel="1">
      <c r="A366" s="1"/>
      <c r="B366" s="40"/>
      <c r="C366" s="50"/>
      <c r="D366" s="127"/>
      <c r="E366" s="84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98"/>
      <c r="R366" s="103"/>
      <c r="S366" s="103"/>
      <c r="T366" s="98"/>
      <c r="U366" s="1"/>
      <c r="V366" s="1"/>
      <c r="W366" s="1"/>
      <c r="X366" s="1"/>
    </row>
    <row r="367" spans="1:24" ht="12.75" hidden="1" customHeight="1" outlineLevel="1">
      <c r="A367" s="1"/>
      <c r="B367" s="53"/>
      <c r="C367" s="54"/>
      <c r="D367" s="128"/>
      <c r="E367" s="8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104"/>
      <c r="U367" s="1"/>
      <c r="V367" s="1"/>
      <c r="W367" s="1"/>
      <c r="X367" s="1"/>
    </row>
    <row r="368" spans="1:24" ht="12.75" hidden="1" customHeight="1" outlineLevel="1">
      <c r="A368" s="1"/>
      <c r="B368" s="40"/>
      <c r="C368" s="27"/>
      <c r="D368" s="126"/>
      <c r="E368" s="81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1"/>
      <c r="V368" s="1"/>
      <c r="W368" s="1"/>
      <c r="X368" s="1"/>
    </row>
    <row r="369" spans="1:24" ht="12.75" hidden="1" customHeight="1" outlineLevel="1">
      <c r="A369" s="1"/>
      <c r="B369" s="14"/>
      <c r="C369" s="57"/>
      <c r="D369" s="115"/>
      <c r="E369" s="75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1"/>
      <c r="V369" s="1"/>
      <c r="W369" s="1"/>
      <c r="X369" s="1"/>
    </row>
    <row r="370" spans="1:24" ht="12.75" hidden="1" customHeight="1" outlineLevel="1">
      <c r="A370" s="1"/>
      <c r="B370" s="14"/>
      <c r="C370" s="57"/>
      <c r="D370" s="115"/>
      <c r="E370" s="75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1"/>
      <c r="V370" s="1"/>
      <c r="W370" s="1"/>
      <c r="X370" s="1"/>
    </row>
    <row r="371" spans="1:24" ht="12.75" hidden="1" customHeight="1" outlineLevel="1">
      <c r="A371" s="1"/>
      <c r="B371" s="14"/>
      <c r="C371" s="32"/>
      <c r="D371" s="115"/>
      <c r="E371" s="75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1"/>
      <c r="V371" s="1"/>
      <c r="W371" s="1"/>
      <c r="X371" s="1"/>
    </row>
    <row r="372" spans="1:24" ht="12.75" hidden="1" customHeight="1" outlineLevel="1">
      <c r="A372" s="1"/>
      <c r="B372" s="35"/>
      <c r="C372" s="36"/>
      <c r="D372" s="122"/>
      <c r="E372" s="76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94"/>
      <c r="U372" s="1"/>
      <c r="V372" s="1"/>
      <c r="W372" s="1"/>
      <c r="X372" s="1"/>
    </row>
    <row r="373" spans="1:24" ht="12.75" hidden="1" customHeight="1" outlineLevel="1">
      <c r="A373" s="1"/>
      <c r="B373" s="38"/>
      <c r="C373" s="27"/>
      <c r="D373" s="123"/>
      <c r="E373" s="77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95"/>
      <c r="Q373" s="96"/>
      <c r="R373" s="97"/>
      <c r="S373" s="97"/>
      <c r="T373" s="98"/>
      <c r="U373" s="1"/>
      <c r="V373" s="1"/>
      <c r="W373" s="1"/>
      <c r="X373" s="1"/>
    </row>
    <row r="374" spans="1:24" ht="12.75" hidden="1" customHeight="1" outlineLevel="1">
      <c r="A374" s="1"/>
      <c r="B374" s="38"/>
      <c r="C374" s="27"/>
      <c r="D374" s="123"/>
      <c r="E374" s="77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95"/>
      <c r="Q374" s="96"/>
      <c r="R374" s="97"/>
      <c r="S374" s="97"/>
      <c r="T374" s="98"/>
      <c r="U374" s="1"/>
      <c r="V374" s="1"/>
      <c r="W374" s="1"/>
      <c r="X374" s="1"/>
    </row>
    <row r="375" spans="1:24" ht="12.75" hidden="1" customHeight="1" outlineLevel="1">
      <c r="A375" s="1"/>
      <c r="B375" s="38"/>
      <c r="C375" s="27"/>
      <c r="D375" s="123"/>
      <c r="E375" s="77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95"/>
      <c r="Q375" s="96"/>
      <c r="R375" s="97"/>
      <c r="S375" s="97"/>
      <c r="T375" s="98"/>
      <c r="U375" s="1"/>
      <c r="V375" s="1"/>
      <c r="W375" s="1"/>
      <c r="X375" s="1"/>
    </row>
    <row r="376" spans="1:24" ht="12.75" hidden="1" customHeight="1" outlineLevel="1">
      <c r="A376" s="1"/>
      <c r="B376" s="40"/>
      <c r="C376" s="41"/>
      <c r="D376" s="124"/>
      <c r="E376" s="78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99"/>
      <c r="R376" s="42"/>
      <c r="S376" s="42"/>
      <c r="T376" s="99"/>
      <c r="U376" s="1"/>
      <c r="V376" s="1"/>
      <c r="W376" s="1"/>
      <c r="X376" s="1"/>
    </row>
    <row r="377" spans="1:24" ht="12.75" hidden="1" customHeight="1" outlineLevel="1">
      <c r="A377" s="1"/>
      <c r="B377" s="43"/>
      <c r="C377" s="44"/>
      <c r="D377" s="125"/>
      <c r="E377" s="80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100"/>
      <c r="U377" s="1"/>
      <c r="V377" s="1"/>
      <c r="W377" s="1"/>
      <c r="X377" s="1"/>
    </row>
    <row r="378" spans="1:24" ht="12.75" hidden="1" customHeight="1" outlineLevel="1">
      <c r="A378" s="1"/>
      <c r="B378" s="46"/>
      <c r="C378" s="47"/>
      <c r="D378" s="126"/>
      <c r="E378" s="82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101"/>
      <c r="Q378" s="99"/>
      <c r="R378" s="42"/>
      <c r="S378" s="42"/>
      <c r="T378" s="99"/>
      <c r="U378" s="1"/>
      <c r="V378" s="1"/>
      <c r="W378" s="1"/>
      <c r="X378" s="1"/>
    </row>
    <row r="379" spans="1:24" ht="12.75" hidden="1" customHeight="1" outlineLevel="1">
      <c r="A379" s="1"/>
      <c r="B379" s="49"/>
      <c r="C379" s="50"/>
      <c r="D379" s="125"/>
      <c r="E379" s="83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102"/>
      <c r="U379" s="1"/>
      <c r="V379" s="1"/>
      <c r="W379" s="1"/>
      <c r="X379" s="1"/>
    </row>
    <row r="380" spans="1:24" ht="12.75" hidden="1" customHeight="1" outlineLevel="1">
      <c r="A380" s="1"/>
      <c r="B380" s="40"/>
      <c r="C380" s="50"/>
      <c r="D380" s="127"/>
      <c r="E380" s="84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98"/>
      <c r="R380" s="103"/>
      <c r="S380" s="103"/>
      <c r="T380" s="98"/>
      <c r="U380" s="1"/>
      <c r="V380" s="1"/>
      <c r="W380" s="1"/>
      <c r="X380" s="1"/>
    </row>
    <row r="381" spans="1:24" ht="12.75" hidden="1" customHeight="1" outlineLevel="1">
      <c r="A381" s="1"/>
      <c r="B381" s="53"/>
      <c r="C381" s="54"/>
      <c r="D381" s="128"/>
      <c r="E381" s="8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104"/>
      <c r="U381" s="1"/>
      <c r="V381" s="1"/>
      <c r="W381" s="1"/>
      <c r="X381" s="1"/>
    </row>
    <row r="382" spans="1:24" ht="12.75" hidden="1" customHeight="1" outlineLevel="1">
      <c r="A382" s="1"/>
      <c r="B382" s="40"/>
      <c r="C382" s="27"/>
      <c r="D382" s="126"/>
      <c r="E382" s="81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1"/>
      <c r="V382" s="1"/>
      <c r="W382" s="1"/>
      <c r="X382" s="1"/>
    </row>
    <row r="383" spans="1:24" ht="12.75" hidden="1" customHeight="1" outlineLevel="1">
      <c r="A383" s="1"/>
      <c r="B383" s="14"/>
      <c r="C383" s="57"/>
      <c r="D383" s="115"/>
      <c r="E383" s="75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1"/>
      <c r="V383" s="1"/>
      <c r="W383" s="1"/>
      <c r="X383" s="1"/>
    </row>
    <row r="384" spans="1:24" ht="12.75" hidden="1" customHeight="1" outlineLevel="1">
      <c r="A384" s="1"/>
      <c r="B384" s="14"/>
      <c r="C384" s="57"/>
      <c r="D384" s="115"/>
      <c r="E384" s="75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1"/>
      <c r="V384" s="1"/>
      <c r="W384" s="1"/>
      <c r="X384" s="1"/>
    </row>
    <row r="385" spans="1:24" ht="12.75" hidden="1" customHeight="1" outlineLevel="1">
      <c r="A385" s="1"/>
      <c r="B385" s="14"/>
      <c r="C385" s="32"/>
      <c r="D385" s="115"/>
      <c r="E385" s="75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1"/>
      <c r="V385" s="1"/>
      <c r="W385" s="1"/>
      <c r="X385" s="1"/>
    </row>
    <row r="386" spans="1:24" ht="12.75" hidden="1" customHeight="1" outlineLevel="1">
      <c r="A386" s="1"/>
      <c r="B386" s="35"/>
      <c r="C386" s="36"/>
      <c r="D386" s="122"/>
      <c r="E386" s="76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94"/>
      <c r="U386" s="1"/>
      <c r="V386" s="1"/>
      <c r="W386" s="1"/>
      <c r="X386" s="1"/>
    </row>
    <row r="387" spans="1:24" ht="12.75" hidden="1" customHeight="1" outlineLevel="1">
      <c r="A387" s="1"/>
      <c r="B387" s="38"/>
      <c r="C387" s="27"/>
      <c r="D387" s="123"/>
      <c r="E387" s="77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95"/>
      <c r="Q387" s="96"/>
      <c r="R387" s="97"/>
      <c r="S387" s="97"/>
      <c r="T387" s="98"/>
      <c r="U387" s="1"/>
      <c r="V387" s="1"/>
      <c r="W387" s="1"/>
      <c r="X387" s="1"/>
    </row>
    <row r="388" spans="1:24" ht="12.75" hidden="1" customHeight="1" outlineLevel="1">
      <c r="A388" s="1"/>
      <c r="B388" s="38"/>
      <c r="C388" s="27"/>
      <c r="D388" s="123"/>
      <c r="E388" s="77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95"/>
      <c r="Q388" s="96"/>
      <c r="R388" s="97"/>
      <c r="S388" s="97"/>
      <c r="T388" s="98"/>
      <c r="U388" s="1"/>
      <c r="V388" s="1"/>
      <c r="W388" s="1"/>
      <c r="X388" s="1"/>
    </row>
    <row r="389" spans="1:24" ht="12.75" hidden="1" customHeight="1" outlineLevel="1">
      <c r="A389" s="1"/>
      <c r="B389" s="38"/>
      <c r="C389" s="27"/>
      <c r="D389" s="123"/>
      <c r="E389" s="77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95"/>
      <c r="Q389" s="96"/>
      <c r="R389" s="97"/>
      <c r="S389" s="97"/>
      <c r="T389" s="98"/>
      <c r="U389" s="1"/>
      <c r="V389" s="1"/>
      <c r="W389" s="1"/>
      <c r="X389" s="1"/>
    </row>
    <row r="390" spans="1:24" ht="12.75" hidden="1" customHeight="1" outlineLevel="1">
      <c r="A390" s="1"/>
      <c r="B390" s="40"/>
      <c r="C390" s="41"/>
      <c r="D390" s="124"/>
      <c r="E390" s="78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99"/>
      <c r="R390" s="42"/>
      <c r="S390" s="42"/>
      <c r="T390" s="99"/>
      <c r="U390" s="1"/>
      <c r="V390" s="1"/>
      <c r="W390" s="1"/>
      <c r="X390" s="1"/>
    </row>
    <row r="391" spans="1:24" ht="12.75" hidden="1" customHeight="1" outlineLevel="1">
      <c r="A391" s="1"/>
      <c r="B391" s="43"/>
      <c r="C391" s="44"/>
      <c r="D391" s="125"/>
      <c r="E391" s="80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100"/>
      <c r="U391" s="1"/>
      <c r="V391" s="1"/>
      <c r="W391" s="1"/>
      <c r="X391" s="1"/>
    </row>
    <row r="392" spans="1:24" ht="12.75" hidden="1" customHeight="1" outlineLevel="1">
      <c r="A392" s="1"/>
      <c r="B392" s="46"/>
      <c r="C392" s="47"/>
      <c r="D392" s="126"/>
      <c r="E392" s="82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101"/>
      <c r="Q392" s="99"/>
      <c r="R392" s="42"/>
      <c r="S392" s="42"/>
      <c r="T392" s="99"/>
      <c r="U392" s="1"/>
      <c r="V392" s="1"/>
      <c r="W392" s="1"/>
      <c r="X392" s="1"/>
    </row>
    <row r="393" spans="1:24" ht="12.75" hidden="1" customHeight="1" outlineLevel="1">
      <c r="A393" s="1"/>
      <c r="B393" s="49"/>
      <c r="C393" s="50"/>
      <c r="D393" s="125"/>
      <c r="E393" s="83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102"/>
      <c r="U393" s="1"/>
      <c r="V393" s="1"/>
      <c r="W393" s="1"/>
      <c r="X393" s="1"/>
    </row>
    <row r="394" spans="1:24" ht="12.75" hidden="1" customHeight="1" outlineLevel="1">
      <c r="A394" s="1"/>
      <c r="B394" s="40"/>
      <c r="C394" s="50"/>
      <c r="D394" s="127"/>
      <c r="E394" s="84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98"/>
      <c r="R394" s="103"/>
      <c r="S394" s="103"/>
      <c r="T394" s="98"/>
      <c r="U394" s="1"/>
      <c r="V394" s="1"/>
      <c r="W394" s="1"/>
      <c r="X394" s="1"/>
    </row>
    <row r="395" spans="1:24" ht="12.75" hidden="1" customHeight="1" outlineLevel="1">
      <c r="A395" s="1"/>
      <c r="B395" s="53"/>
      <c r="C395" s="54"/>
      <c r="D395" s="128"/>
      <c r="E395" s="8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104"/>
      <c r="U395" s="1"/>
      <c r="V395" s="1"/>
      <c r="W395" s="1"/>
      <c r="X395" s="1"/>
    </row>
    <row r="396" spans="1:24" ht="12.75" hidden="1" customHeight="1" outlineLevel="1">
      <c r="A396" s="1"/>
      <c r="B396" s="40"/>
      <c r="C396" s="27"/>
      <c r="D396" s="126"/>
      <c r="E396" s="81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1"/>
      <c r="V396" s="1"/>
      <c r="W396" s="1"/>
      <c r="X396" s="1"/>
    </row>
    <row r="397" spans="1:24" ht="12.75" hidden="1" customHeight="1" outlineLevel="1">
      <c r="A397" s="1"/>
      <c r="B397" s="14"/>
      <c r="C397" s="32"/>
      <c r="D397" s="115"/>
      <c r="E397" s="75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1"/>
      <c r="V397" s="1"/>
      <c r="W397" s="1"/>
      <c r="X397" s="1"/>
    </row>
    <row r="398" spans="1:24" ht="12.75" hidden="1" customHeight="1" outlineLevel="1">
      <c r="A398" s="1"/>
      <c r="B398" s="14"/>
      <c r="C398" s="32"/>
      <c r="D398" s="115"/>
      <c r="E398" s="75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1"/>
      <c r="V398" s="1"/>
      <c r="W398" s="1"/>
      <c r="X398" s="1"/>
    </row>
    <row r="399" spans="1:24" ht="12.75" hidden="1" customHeight="1" outlineLevel="1">
      <c r="A399" s="1"/>
      <c r="B399" s="14"/>
      <c r="C399" s="32"/>
      <c r="D399" s="115"/>
      <c r="E399" s="75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1"/>
      <c r="V399" s="1"/>
      <c r="W399" s="1"/>
      <c r="X399" s="1"/>
    </row>
    <row r="400" spans="1:24" ht="12.75" hidden="1" customHeight="1" outlineLevel="1">
      <c r="A400" s="1"/>
      <c r="B400" s="35"/>
      <c r="C400" s="36"/>
      <c r="D400" s="122"/>
      <c r="E400" s="76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94"/>
      <c r="U400" s="1"/>
      <c r="V400" s="1"/>
      <c r="W400" s="1"/>
      <c r="X400" s="1"/>
    </row>
    <row r="401" spans="1:24" ht="12.75" hidden="1" customHeight="1" outlineLevel="1">
      <c r="A401" s="1"/>
      <c r="B401" s="38"/>
      <c r="C401" s="27"/>
      <c r="D401" s="123"/>
      <c r="E401" s="77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95"/>
      <c r="Q401" s="96"/>
      <c r="R401" s="97"/>
      <c r="S401" s="97"/>
      <c r="T401" s="98"/>
      <c r="U401" s="1"/>
      <c r="V401" s="1"/>
      <c r="W401" s="1"/>
      <c r="X401" s="1"/>
    </row>
    <row r="402" spans="1:24" ht="12.75" hidden="1" customHeight="1" outlineLevel="1">
      <c r="A402" s="1"/>
      <c r="B402" s="38"/>
      <c r="C402" s="27"/>
      <c r="D402" s="123"/>
      <c r="E402" s="77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95"/>
      <c r="Q402" s="96"/>
      <c r="R402" s="97"/>
      <c r="S402" s="97"/>
      <c r="T402" s="98"/>
      <c r="U402" s="1"/>
      <c r="V402" s="1"/>
      <c r="W402" s="1"/>
      <c r="X402" s="1"/>
    </row>
    <row r="403" spans="1:24" ht="12.75" hidden="1" customHeight="1" outlineLevel="1">
      <c r="A403" s="1"/>
      <c r="B403" s="38"/>
      <c r="C403" s="27"/>
      <c r="D403" s="123"/>
      <c r="E403" s="77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95"/>
      <c r="Q403" s="96"/>
      <c r="R403" s="97"/>
      <c r="S403" s="97"/>
      <c r="T403" s="98"/>
      <c r="U403" s="1"/>
      <c r="V403" s="1"/>
      <c r="W403" s="1"/>
      <c r="X403" s="1"/>
    </row>
    <row r="404" spans="1:24" ht="12.75" hidden="1" customHeight="1" outlineLevel="1">
      <c r="A404" s="1"/>
      <c r="B404" s="40"/>
      <c r="C404" s="41"/>
      <c r="D404" s="124"/>
      <c r="E404" s="79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99"/>
      <c r="R404" s="42"/>
      <c r="S404" s="42"/>
      <c r="T404" s="99"/>
      <c r="U404" s="1"/>
      <c r="V404" s="1"/>
      <c r="W404" s="1"/>
      <c r="X404" s="1"/>
    </row>
    <row r="405" spans="1:24" ht="12.75" hidden="1" customHeight="1" outlineLevel="1">
      <c r="A405" s="1"/>
      <c r="B405" s="14"/>
      <c r="C405" s="44"/>
      <c r="D405" s="115"/>
      <c r="E405" s="75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45"/>
      <c r="S405" s="45"/>
      <c r="T405" s="100"/>
      <c r="U405" s="1"/>
      <c r="V405" s="1"/>
      <c r="W405" s="1"/>
      <c r="X405" s="1"/>
    </row>
    <row r="406" spans="1:24" ht="12.75" hidden="1" customHeight="1" outlineLevel="1">
      <c r="A406" s="1"/>
      <c r="B406" s="46"/>
      <c r="C406" s="47"/>
      <c r="D406" s="126"/>
      <c r="E406" s="82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101"/>
      <c r="Q406" s="99"/>
      <c r="R406" s="42"/>
      <c r="S406" s="42"/>
      <c r="T406" s="99"/>
      <c r="U406" s="1"/>
      <c r="V406" s="1"/>
      <c r="W406" s="1"/>
      <c r="X406" s="1"/>
    </row>
    <row r="407" spans="1:24" ht="16.5" hidden="1" customHeight="1" outlineLevel="1">
      <c r="A407" s="1"/>
      <c r="B407" s="49"/>
      <c r="C407" s="50"/>
      <c r="D407" s="125"/>
      <c r="E407" s="75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105"/>
      <c r="R407" s="51"/>
      <c r="S407" s="51"/>
      <c r="T407" s="102"/>
      <c r="U407" s="1"/>
      <c r="V407" s="1"/>
      <c r="W407" s="1"/>
      <c r="X407" s="1"/>
    </row>
    <row r="408" spans="1:24" ht="12.75" hidden="1" customHeight="1" outlineLevel="1">
      <c r="A408" s="1"/>
      <c r="B408" s="40"/>
      <c r="C408" s="50"/>
      <c r="D408" s="127"/>
      <c r="E408" s="84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98"/>
      <c r="R408" s="103"/>
      <c r="S408" s="103"/>
      <c r="T408" s="98"/>
      <c r="U408" s="1"/>
      <c r="V408" s="1"/>
      <c r="W408" s="1"/>
      <c r="X408" s="1"/>
    </row>
    <row r="409" spans="1:24" ht="12.75" hidden="1" customHeight="1" outlineLevel="1">
      <c r="A409" s="1"/>
      <c r="B409" s="53"/>
      <c r="C409" s="54"/>
      <c r="D409" s="128"/>
      <c r="E409" s="8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104"/>
      <c r="U409" s="1"/>
      <c r="V409" s="1"/>
      <c r="W409" s="1"/>
      <c r="X409" s="1"/>
    </row>
    <row r="410" spans="1:24" ht="12.75" hidden="1" customHeight="1" outlineLevel="1">
      <c r="A410" s="1"/>
      <c r="B410" s="40"/>
      <c r="C410" s="27"/>
      <c r="D410" s="126"/>
      <c r="E410" s="81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1"/>
      <c r="V410" s="1"/>
      <c r="W410" s="1"/>
      <c r="X410" s="1"/>
    </row>
    <row r="411" spans="1:24" ht="12.75" customHeight="1" collapsed="1">
      <c r="A411" s="1"/>
      <c r="B411" s="14"/>
      <c r="C411" s="57"/>
      <c r="D411" s="115"/>
      <c r="E411" s="75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1"/>
      <c r="V411" s="1"/>
      <c r="W411" s="1"/>
      <c r="X411" s="1"/>
    </row>
    <row r="412" spans="1:24" ht="12.75" customHeight="1">
      <c r="A412" s="1"/>
      <c r="B412" s="14"/>
      <c r="C412" s="57"/>
      <c r="D412" s="115"/>
      <c r="E412" s="75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1"/>
      <c r="V412" s="1"/>
      <c r="W412" s="1"/>
      <c r="X412" s="1"/>
    </row>
    <row r="413" spans="1:24" ht="12.75" customHeight="1">
      <c r="A413" s="1"/>
      <c r="B413" s="40" t="s">
        <v>127</v>
      </c>
      <c r="C413" s="62">
        <f>(SUM(E413:H413)/D413)</f>
        <v>0.55117029220625069</v>
      </c>
      <c r="D413" s="126">
        <f>D21+D34+D48+D61+D75+D88+D101+D114+D127+D140+D153+D165+D178+D191+D217+D230+D243+D256+D284+D298+D270+D204+D312+D326+D340+D354+D368+D382+D396+D410</f>
        <v>33707478.409500003</v>
      </c>
      <c r="E413" s="81">
        <f>E21+E34+E48+E61+E75+E88+E101+E114+E127+E140+E153+E165+E178+E191+E217+E230+E243+E256+E284+E298+E270+E204</f>
        <v>0</v>
      </c>
      <c r="F413" s="56">
        <f>F21+F34+F48+F61+F75+F88+F101+F114+F127+F140+F153+F165+F178+F191+F217+F230+F243+F256+F284+F298+F270+F204</f>
        <v>11787301.554000003</v>
      </c>
      <c r="G413" s="56">
        <f>G21+G34+G48+G61+G75+G88+G101+G114+G127+G140+G153+G165+G178+G191+G217+G230+G243+G256+G284+G298+G270+G204</f>
        <v>2692098.1944999998</v>
      </c>
      <c r="H413" s="56">
        <f>H21+H34+H48+H61+H75+H88+H101+H114+H127+H140+H153+H165+H178+H191+H217+H230+H243+H256+H284+H298+H270+H204</f>
        <v>4099160.9760000003</v>
      </c>
      <c r="I413" s="56">
        <f>I21+I34+I48+I61+I75+I88+I101+I114+I127+I140+I153+I165+I178+I191+I217+I230+I243+I256+I284+I298+I270+I204</f>
        <v>2629214.674236998</v>
      </c>
      <c r="J413" s="56">
        <f>J21+J34+J48+J61+J75+J88+J101+J114+J127+J140+J153+J165+J178+J191+J204+J217+J230+J243+J256+J284+J298+J270</f>
        <v>2384619.020867792</v>
      </c>
      <c r="K413" s="56">
        <f>K21+K34+K48+K61+K75+K88+K101+K114+K127+K140+K153+K165+K178+K191+K217+K230+K243+K256+K284+K298+K270+K204</f>
        <v>2534941.6179205538</v>
      </c>
      <c r="L413" s="56">
        <f>L21+L34+L48+L61+L75+L88+L101+L114+L127+L140+L153+L165+L178+L191+L217+L230+L243+L256+L284+L298+L270+L204+L312+L326+L340+L354+L368+L382+L396</f>
        <v>2574573.8686081474</v>
      </c>
      <c r="M413" s="56">
        <f>M21+M34+M48+M61+M75+M88+M101+M114+M127+M140+M153+M165+M178+M191+M217+M230+M243+M256+M284+M298+M270+M204+M312+M326+M340+M354+M368+M382+M396</f>
        <v>3028015.8370297235</v>
      </c>
      <c r="N413" s="56">
        <f>N21+N34+N48+N61+N75+N88+N101+N114+N127+N140+N153+N165+N178+N191+N217+N230+N243+N256+N284+N298+N270+N204+N312+N326+N340+N354+N368+N382+N396+N410</f>
        <v>612057.55030146427</v>
      </c>
      <c r="O413" s="56">
        <f>O21+O34+O48+O61+O75+O88+O101+O114+O127+O140+O153+O165+O178+O191+O217+O230+O243+O256+O284+O298+O270+O204+O312+O326+O340+O354+O368+O382+O396+O410</f>
        <v>594751.70429628086</v>
      </c>
      <c r="P413" s="56">
        <f>P21+P34+P48+P61+P75+P88+P101+P114+P127+P140+P153+P165+P178+P191+P217+P230+P243+P256+P284+P298+P270+P204+P312+P326+P340+P354+P368+P382+P396+P410</f>
        <v>771229.5816198492</v>
      </c>
      <c r="Q413" s="56">
        <f>Q21+Q34+Q48+Q61+Q75+Q88+Q101+Q114+Q127+Q140+Q153+Q165+Q178+Q191+Q217+Q230+Q243+Q256+Q284+Q298+Q270+Q204+Q312+Q326+Q340+Q354+Q368+Q382+Q396+Q410</f>
        <v>18578560.7245</v>
      </c>
      <c r="R413" s="56">
        <f t="shared" ref="R413" si="159">R21+R34+R48+R61+R75+R88+R101+R114+R127+R140+R153+R165+R178+R191+R217+R230+R243+R256+R284+R298+R270+R204+R312+R326+R340+R354+R368+R382+R396+R410</f>
        <v>15129403.854880808</v>
      </c>
      <c r="S413" s="56">
        <f>S21+S34+S48+S61+S75+S88+S101+S114+S127+S140+S153+S165+S178+S191+S217+S230+S243+S256+S284+S298+S270+S204+S312+S326+S340+S354+S368+S382+S396+S410</f>
        <v>33707964.579380803</v>
      </c>
      <c r="T413" s="112">
        <f>T21+T34+T48+T61+T75+T88+T101+T114+T127+T140+T153+T165+T178+T191+T217+T230+T243+T256+T284+T298+T270+T204+T312+T326+T340+T354+T368+T382+T396+T410-1</f>
        <v>-486.16988080974625</v>
      </c>
      <c r="U413" s="1"/>
      <c r="V413" s="1"/>
      <c r="W413" s="1"/>
      <c r="X413" s="1"/>
    </row>
    <row r="414" spans="1:24" ht="12.75" customHeight="1">
      <c r="A414" s="1"/>
      <c r="B414" s="1"/>
      <c r="C414" s="2"/>
      <c r="D414" s="58"/>
      <c r="E414" s="86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1"/>
      <c r="V414" s="1"/>
      <c r="W414" s="1"/>
      <c r="X414" s="1"/>
    </row>
    <row r="415" spans="1:24" ht="12.75" customHeight="1">
      <c r="A415" s="1"/>
      <c r="B415" s="1"/>
      <c r="C415" s="2"/>
      <c r="D415" s="58"/>
      <c r="E415" s="86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1"/>
      <c r="V415" s="1"/>
      <c r="W415" s="1"/>
      <c r="X415" s="1"/>
    </row>
    <row r="416" spans="1:24" ht="12.75" customHeight="1">
      <c r="A416" s="1"/>
      <c r="B416" s="1"/>
      <c r="C416" s="2"/>
      <c r="D416" s="129"/>
      <c r="E416" s="86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1"/>
      <c r="V416" s="1"/>
      <c r="W416" s="1"/>
      <c r="X416" s="1"/>
    </row>
    <row r="417" spans="1:24" ht="12.75" customHeight="1">
      <c r="A417" s="1"/>
      <c r="B417" s="1"/>
      <c r="C417" s="2"/>
      <c r="D417" s="129"/>
      <c r="E417" s="86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1"/>
      <c r="V417" s="1"/>
      <c r="W417" s="1"/>
      <c r="X417" s="1"/>
    </row>
    <row r="418" spans="1:24" ht="12.75" customHeight="1">
      <c r="A418" s="1"/>
      <c r="B418" s="1"/>
      <c r="C418" s="2"/>
      <c r="D418" s="129"/>
      <c r="E418" s="86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1"/>
      <c r="V418" s="1"/>
      <c r="W418" s="1"/>
      <c r="X418" s="1"/>
    </row>
    <row r="419" spans="1:24" ht="12.75" customHeight="1">
      <c r="A419" s="1"/>
      <c r="B419" s="1"/>
      <c r="C419" s="2"/>
      <c r="D419" s="129"/>
      <c r="E419" s="86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1"/>
      <c r="V419" s="1"/>
      <c r="W419" s="1"/>
      <c r="X419" s="1"/>
    </row>
    <row r="420" spans="1:24" ht="12.75" customHeight="1">
      <c r="A420" s="1"/>
      <c r="B420" s="1"/>
      <c r="C420" s="2"/>
      <c r="D420" s="129"/>
      <c r="E420" s="86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1"/>
      <c r="V420" s="1"/>
      <c r="W420" s="1"/>
      <c r="X420" s="1"/>
    </row>
    <row r="421" spans="1:24" ht="12.75" customHeight="1">
      <c r="A421" s="1"/>
      <c r="B421" s="1"/>
      <c r="C421" s="2"/>
      <c r="D421" s="129"/>
      <c r="E421" s="86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1"/>
      <c r="V421" s="1"/>
      <c r="W421" s="1"/>
      <c r="X421" s="1"/>
    </row>
    <row r="422" spans="1:24" ht="12.75" customHeight="1">
      <c r="A422" s="1"/>
      <c r="B422" s="1"/>
      <c r="C422" s="2"/>
      <c r="D422" s="129"/>
      <c r="E422" s="86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1"/>
      <c r="V422" s="1"/>
      <c r="W422" s="1"/>
      <c r="X422" s="1"/>
    </row>
    <row r="423" spans="1:24" ht="12.75" customHeight="1">
      <c r="A423" s="1"/>
      <c r="B423" s="1"/>
      <c r="C423" s="2"/>
      <c r="D423" s="58"/>
      <c r="E423" s="86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1"/>
      <c r="V423" s="1"/>
      <c r="W423" s="1"/>
      <c r="X423" s="1"/>
    </row>
    <row r="424" spans="1:24" ht="12.75" customHeight="1">
      <c r="A424" s="1"/>
      <c r="B424" s="1"/>
      <c r="C424" s="2"/>
      <c r="D424" s="58"/>
      <c r="E424" s="86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1"/>
      <c r="V424" s="1"/>
      <c r="W424" s="1"/>
      <c r="X424" s="1"/>
    </row>
    <row r="425" spans="1:24" ht="12.75" customHeight="1">
      <c r="A425" s="1"/>
      <c r="B425" s="1"/>
      <c r="C425" s="2"/>
      <c r="D425" s="58"/>
      <c r="E425" s="87"/>
      <c r="F425" s="3"/>
      <c r="G425" s="106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1"/>
      <c r="V425" s="1"/>
      <c r="W425" s="1"/>
      <c r="X425" s="1"/>
    </row>
    <row r="426" spans="1:24" ht="12.75" customHeight="1">
      <c r="A426" s="1"/>
      <c r="B426" s="1"/>
      <c r="C426" s="2"/>
      <c r="D426" s="58"/>
      <c r="E426" s="87"/>
      <c r="F426" s="3"/>
      <c r="G426" s="106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1"/>
      <c r="V426" s="1"/>
      <c r="W426" s="1"/>
      <c r="X426" s="1"/>
    </row>
    <row r="427" spans="1:24" ht="12.75" customHeight="1">
      <c r="A427" s="1"/>
      <c r="B427" s="1"/>
      <c r="C427" s="2"/>
      <c r="D427" s="58"/>
      <c r="E427" s="87"/>
      <c r="F427" s="3"/>
      <c r="G427" s="106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1"/>
      <c r="V427" s="1"/>
      <c r="W427" s="1"/>
      <c r="X427" s="1"/>
    </row>
    <row r="428" spans="1:24" ht="12.75" customHeight="1">
      <c r="A428" s="1"/>
      <c r="B428" s="1"/>
      <c r="C428" s="2"/>
      <c r="D428" s="58"/>
      <c r="E428" s="87"/>
      <c r="F428" s="3"/>
      <c r="G428" s="106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1"/>
      <c r="V428" s="1"/>
      <c r="W428" s="1"/>
      <c r="X428" s="1"/>
    </row>
    <row r="429" spans="1:24" ht="12.75" customHeight="1">
      <c r="A429" s="1"/>
      <c r="B429" s="1"/>
      <c r="C429" s="2"/>
      <c r="D429" s="58"/>
      <c r="E429" s="87"/>
      <c r="F429" s="3"/>
      <c r="G429" s="106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1"/>
      <c r="V429" s="1"/>
      <c r="W429" s="1"/>
      <c r="X429" s="1"/>
    </row>
    <row r="430" spans="1:24" ht="12.75" customHeight="1">
      <c r="A430" s="1"/>
      <c r="B430" s="1"/>
      <c r="C430" s="2"/>
      <c r="D430" s="58"/>
      <c r="E430" s="87"/>
      <c r="F430" s="3"/>
      <c r="G430" s="106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1"/>
      <c r="V430" s="1"/>
      <c r="W430" s="1"/>
      <c r="X430" s="1"/>
    </row>
    <row r="431" spans="1:24" ht="12.75" customHeight="1">
      <c r="A431" s="1"/>
      <c r="B431" s="1"/>
      <c r="C431" s="2"/>
      <c r="D431" s="58"/>
      <c r="E431" s="86"/>
      <c r="F431" s="3"/>
      <c r="G431" s="106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1"/>
      <c r="V431" s="1"/>
      <c r="W431" s="1"/>
      <c r="X431" s="1"/>
    </row>
    <row r="432" spans="1:24" ht="12.75" customHeight="1">
      <c r="A432" s="1"/>
      <c r="B432" s="1"/>
      <c r="C432" s="2"/>
      <c r="D432" s="58"/>
      <c r="E432" s="86"/>
      <c r="F432" s="3"/>
      <c r="G432" s="106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1"/>
      <c r="V432" s="1"/>
      <c r="W432" s="1"/>
      <c r="X432" s="1"/>
    </row>
    <row r="433" spans="1:24" ht="12.75" customHeight="1">
      <c r="A433" s="1"/>
      <c r="B433" s="1"/>
      <c r="C433" s="2"/>
      <c r="D433" s="58"/>
      <c r="E433" s="86"/>
      <c r="F433" s="3"/>
      <c r="G433" s="106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1"/>
      <c r="V433" s="1"/>
      <c r="W433" s="1"/>
      <c r="X433" s="1"/>
    </row>
    <row r="434" spans="1:24" ht="12.75" customHeight="1">
      <c r="A434" s="1"/>
      <c r="B434" s="1"/>
      <c r="C434" s="2"/>
      <c r="D434" s="58"/>
      <c r="E434" s="86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1"/>
      <c r="V434" s="1"/>
      <c r="W434" s="1"/>
      <c r="X434" s="1"/>
    </row>
    <row r="435" spans="1:24" ht="12.75" customHeight="1">
      <c r="A435" s="1"/>
      <c r="B435" s="1"/>
      <c r="C435" s="2"/>
      <c r="D435" s="58"/>
      <c r="E435" s="86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1"/>
      <c r="V435" s="1"/>
      <c r="W435" s="1"/>
      <c r="X435" s="1"/>
    </row>
    <row r="436" spans="1:24" ht="12.75" customHeight="1">
      <c r="A436" s="1"/>
      <c r="B436" s="1"/>
      <c r="C436" s="2"/>
      <c r="D436" s="58"/>
      <c r="E436" s="86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1"/>
      <c r="V436" s="1"/>
      <c r="W436" s="1"/>
      <c r="X436" s="1"/>
    </row>
    <row r="437" spans="1:24" ht="12.75" customHeight="1">
      <c r="A437" s="1"/>
      <c r="B437" s="1"/>
      <c r="C437" s="2"/>
      <c r="D437" s="58"/>
      <c r="E437" s="86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1"/>
      <c r="V437" s="1"/>
      <c r="W437" s="1"/>
      <c r="X437" s="1"/>
    </row>
    <row r="438" spans="1:24" ht="12.75" customHeight="1">
      <c r="A438" s="1"/>
      <c r="B438" s="1"/>
      <c r="C438" s="2"/>
      <c r="D438" s="58"/>
      <c r="E438" s="86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1"/>
      <c r="V438" s="1"/>
      <c r="W438" s="1"/>
      <c r="X438" s="1"/>
    </row>
    <row r="439" spans="1:24" ht="12.75" customHeight="1">
      <c r="A439" s="1"/>
      <c r="B439" s="1"/>
      <c r="C439" s="2"/>
      <c r="D439" s="58"/>
      <c r="E439" s="86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1"/>
      <c r="V439" s="1"/>
      <c r="W439" s="1"/>
      <c r="X439" s="1"/>
    </row>
    <row r="440" spans="1:24" ht="12.75" customHeight="1">
      <c r="A440" s="1"/>
      <c r="B440" s="1"/>
      <c r="C440" s="2"/>
      <c r="D440" s="58"/>
      <c r="E440" s="86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1"/>
      <c r="V440" s="1"/>
      <c r="W440" s="1"/>
      <c r="X440" s="1"/>
    </row>
    <row r="441" spans="1:24" ht="12.75" customHeight="1">
      <c r="A441" s="1"/>
      <c r="B441" s="1"/>
      <c r="C441" s="2"/>
      <c r="D441" s="58"/>
      <c r="E441" s="86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1"/>
      <c r="V441" s="1"/>
      <c r="W441" s="1"/>
      <c r="X441" s="1"/>
    </row>
    <row r="442" spans="1:24" ht="12.75" customHeight="1">
      <c r="A442" s="1"/>
      <c r="B442" s="1"/>
      <c r="C442" s="2"/>
      <c r="D442" s="58"/>
      <c r="E442" s="86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1"/>
      <c r="V442" s="1"/>
      <c r="W442" s="1"/>
      <c r="X442" s="1"/>
    </row>
    <row r="443" spans="1:24" ht="12.75" customHeight="1">
      <c r="A443" s="1"/>
      <c r="B443" s="1"/>
      <c r="C443" s="2"/>
      <c r="D443" s="58"/>
      <c r="E443" s="86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1"/>
      <c r="V443" s="1"/>
      <c r="W443" s="1"/>
      <c r="X443" s="1"/>
    </row>
    <row r="444" spans="1:24" ht="12.75" customHeight="1">
      <c r="A444" s="1"/>
      <c r="B444" s="1"/>
      <c r="C444" s="2"/>
      <c r="D444" s="58"/>
      <c r="E444" s="86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1"/>
      <c r="V444" s="1"/>
      <c r="W444" s="1"/>
      <c r="X444" s="1"/>
    </row>
    <row r="445" spans="1:24" ht="12.75" customHeight="1">
      <c r="A445" s="1"/>
      <c r="B445" s="1"/>
      <c r="C445" s="2"/>
      <c r="D445" s="58"/>
      <c r="E445" s="86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1"/>
      <c r="V445" s="1"/>
      <c r="W445" s="1"/>
      <c r="X445" s="1"/>
    </row>
    <row r="446" spans="1:24" ht="12.75" customHeight="1">
      <c r="A446" s="1"/>
      <c r="B446" s="1"/>
      <c r="C446" s="2"/>
      <c r="D446" s="58"/>
      <c r="E446" s="86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1"/>
      <c r="V446" s="1"/>
      <c r="W446" s="1"/>
      <c r="X446" s="1"/>
    </row>
    <row r="447" spans="1:24" ht="12.75" customHeight="1">
      <c r="A447" s="1"/>
      <c r="B447" s="1"/>
      <c r="C447" s="2"/>
      <c r="D447" s="58"/>
      <c r="E447" s="86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1"/>
      <c r="V447" s="1"/>
      <c r="W447" s="1"/>
      <c r="X447" s="1"/>
    </row>
    <row r="448" spans="1:24" ht="12.75" customHeight="1">
      <c r="A448" s="1"/>
      <c r="B448" s="1"/>
      <c r="C448" s="2"/>
      <c r="D448" s="58"/>
      <c r="E448" s="86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1"/>
      <c r="V448" s="1"/>
      <c r="W448" s="1"/>
      <c r="X448" s="1"/>
    </row>
    <row r="449" spans="1:24" ht="12.75" customHeight="1">
      <c r="A449" s="1"/>
      <c r="B449" s="1"/>
      <c r="C449" s="2"/>
      <c r="D449" s="58"/>
      <c r="E449" s="86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1"/>
      <c r="V449" s="1"/>
      <c r="W449" s="1"/>
      <c r="X449" s="1"/>
    </row>
    <row r="450" spans="1:24" ht="12.75" customHeight="1">
      <c r="A450" s="1"/>
      <c r="B450" s="1"/>
      <c r="C450" s="2"/>
      <c r="D450" s="58"/>
      <c r="E450" s="86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1"/>
      <c r="V450" s="1"/>
      <c r="W450" s="1"/>
      <c r="X450" s="1"/>
    </row>
    <row r="451" spans="1:24" ht="12.75" customHeight="1">
      <c r="A451" s="1"/>
      <c r="B451" s="1"/>
      <c r="C451" s="2"/>
      <c r="D451" s="58"/>
      <c r="E451" s="86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1"/>
      <c r="V451" s="1"/>
      <c r="W451" s="1"/>
      <c r="X451" s="1"/>
    </row>
    <row r="452" spans="1:24" ht="12.75" customHeight="1">
      <c r="A452" s="1"/>
      <c r="B452" s="1"/>
      <c r="C452" s="2"/>
      <c r="D452" s="58"/>
      <c r="E452" s="86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1"/>
      <c r="V452" s="1"/>
      <c r="W452" s="1"/>
      <c r="X452" s="1"/>
    </row>
    <row r="453" spans="1:24" ht="12.75" customHeight="1">
      <c r="A453" s="1"/>
      <c r="B453" s="1"/>
      <c r="C453" s="2"/>
      <c r="D453" s="58"/>
      <c r="E453" s="86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1"/>
      <c r="V453" s="1"/>
      <c r="W453" s="1"/>
      <c r="X453" s="1"/>
    </row>
    <row r="454" spans="1:24" ht="12.75" customHeight="1">
      <c r="A454" s="1"/>
      <c r="B454" s="1"/>
      <c r="C454" s="2"/>
      <c r="D454" s="58"/>
      <c r="E454" s="86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1"/>
      <c r="V454" s="1"/>
      <c r="W454" s="1"/>
      <c r="X454" s="1"/>
    </row>
    <row r="455" spans="1:24" ht="12.75" customHeight="1">
      <c r="A455" s="1"/>
      <c r="B455" s="1"/>
      <c r="C455" s="2"/>
      <c r="D455" s="58"/>
      <c r="E455" s="86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1"/>
      <c r="V455" s="1"/>
      <c r="W455" s="1"/>
      <c r="X455" s="1"/>
    </row>
    <row r="456" spans="1:24" ht="12.75" customHeight="1">
      <c r="A456" s="1"/>
      <c r="B456" s="1"/>
      <c r="C456" s="2"/>
      <c r="D456" s="58"/>
      <c r="E456" s="86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1"/>
      <c r="V456" s="1"/>
      <c r="W456" s="1"/>
      <c r="X456" s="1"/>
    </row>
    <row r="457" spans="1:24" ht="12.75" customHeight="1">
      <c r="A457" s="1"/>
      <c r="B457" s="1"/>
      <c r="C457" s="2"/>
      <c r="D457" s="58"/>
      <c r="E457" s="86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1"/>
      <c r="V457" s="1"/>
      <c r="W457" s="1"/>
      <c r="X457" s="1"/>
    </row>
    <row r="458" spans="1:24" ht="12.75" customHeight="1">
      <c r="A458" s="1"/>
      <c r="B458" s="1"/>
      <c r="C458" s="2"/>
      <c r="D458" s="58"/>
      <c r="E458" s="86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1"/>
      <c r="V458" s="1"/>
      <c r="W458" s="1"/>
      <c r="X458" s="1"/>
    </row>
    <row r="459" spans="1:24" ht="12.75" customHeight="1">
      <c r="A459" s="1"/>
      <c r="B459" s="1"/>
      <c r="C459" s="2"/>
      <c r="D459" s="58"/>
      <c r="E459" s="86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1"/>
      <c r="V459" s="1"/>
      <c r="W459" s="1"/>
      <c r="X459" s="1"/>
    </row>
    <row r="460" spans="1:24" ht="12.75" customHeight="1">
      <c r="A460" s="1"/>
      <c r="B460" s="1"/>
      <c r="C460" s="2"/>
      <c r="D460" s="58"/>
      <c r="E460" s="86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1"/>
      <c r="V460" s="1"/>
      <c r="W460" s="1"/>
      <c r="X460" s="1"/>
    </row>
    <row r="461" spans="1:24" ht="12.75" customHeight="1">
      <c r="A461" s="1"/>
      <c r="B461" s="1"/>
      <c r="C461" s="2"/>
      <c r="D461" s="58"/>
      <c r="E461" s="86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1"/>
      <c r="V461" s="1"/>
      <c r="W461" s="1"/>
      <c r="X461" s="1"/>
    </row>
    <row r="462" spans="1:24" ht="12.75" customHeight="1">
      <c r="A462" s="1"/>
      <c r="B462" s="1"/>
      <c r="C462" s="2"/>
      <c r="D462" s="58"/>
      <c r="E462" s="86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1"/>
      <c r="V462" s="1"/>
      <c r="W462" s="1"/>
      <c r="X462" s="1"/>
    </row>
    <row r="463" spans="1:24" ht="12.75" customHeight="1">
      <c r="A463" s="1"/>
      <c r="B463" s="1"/>
      <c r="C463" s="2"/>
      <c r="D463" s="58"/>
      <c r="E463" s="86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1"/>
      <c r="V463" s="1"/>
      <c r="W463" s="1"/>
      <c r="X463" s="1"/>
    </row>
    <row r="464" spans="1:24" ht="12.75" customHeight="1">
      <c r="A464" s="1"/>
      <c r="B464" s="1"/>
      <c r="C464" s="2"/>
      <c r="D464" s="58"/>
      <c r="E464" s="86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1"/>
      <c r="V464" s="1"/>
      <c r="W464" s="1"/>
      <c r="X464" s="1"/>
    </row>
    <row r="465" spans="1:24" ht="12.75" customHeight="1">
      <c r="A465" s="1"/>
      <c r="B465" s="1"/>
      <c r="C465" s="2"/>
      <c r="D465" s="58"/>
      <c r="E465" s="86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1"/>
      <c r="V465" s="1"/>
      <c r="W465" s="1"/>
      <c r="X465" s="1"/>
    </row>
    <row r="466" spans="1:24" ht="12.75" customHeight="1">
      <c r="A466" s="1"/>
      <c r="B466" s="1"/>
      <c r="C466" s="2"/>
      <c r="D466" s="58"/>
      <c r="E466" s="86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1"/>
      <c r="V466" s="1"/>
      <c r="W466" s="1"/>
      <c r="X466" s="1"/>
    </row>
    <row r="467" spans="1:24" ht="12.75" customHeight="1">
      <c r="A467" s="1"/>
      <c r="B467" s="1"/>
      <c r="C467" s="2"/>
      <c r="D467" s="58"/>
      <c r="E467" s="86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1"/>
      <c r="V467" s="1"/>
      <c r="W467" s="1"/>
      <c r="X467" s="1"/>
    </row>
    <row r="468" spans="1:24" ht="12.75" customHeight="1">
      <c r="A468" s="1"/>
      <c r="B468" s="1"/>
      <c r="C468" s="2"/>
      <c r="D468" s="58"/>
      <c r="E468" s="86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1"/>
      <c r="V468" s="1"/>
      <c r="W468" s="1"/>
      <c r="X468" s="1"/>
    </row>
    <row r="469" spans="1:24" ht="12.75" customHeight="1">
      <c r="A469" s="1"/>
      <c r="B469" s="1"/>
      <c r="C469" s="2"/>
      <c r="D469" s="58"/>
      <c r="E469" s="86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1"/>
      <c r="V469" s="1"/>
      <c r="W469" s="1"/>
      <c r="X469" s="1"/>
    </row>
    <row r="470" spans="1:24" ht="12.75" customHeight="1">
      <c r="A470" s="1"/>
      <c r="B470" s="1"/>
      <c r="C470" s="2"/>
      <c r="D470" s="58"/>
      <c r="E470" s="86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1"/>
      <c r="V470" s="1"/>
      <c r="W470" s="1"/>
      <c r="X470" s="1"/>
    </row>
    <row r="471" spans="1:24" ht="12.75" customHeight="1">
      <c r="A471" s="1"/>
      <c r="B471" s="1"/>
      <c r="C471" s="2"/>
      <c r="D471" s="58"/>
      <c r="E471" s="86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1"/>
      <c r="V471" s="1"/>
      <c r="W471" s="1"/>
      <c r="X471" s="1"/>
    </row>
    <row r="472" spans="1:24" ht="12.75" customHeight="1">
      <c r="A472" s="1"/>
      <c r="B472" s="1"/>
      <c r="C472" s="2"/>
      <c r="D472" s="58"/>
      <c r="E472" s="86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1"/>
      <c r="V472" s="1"/>
      <c r="W472" s="1"/>
      <c r="X472" s="1"/>
    </row>
    <row r="473" spans="1:24" ht="12.75" customHeight="1">
      <c r="A473" s="1"/>
      <c r="B473" s="1"/>
      <c r="C473" s="2"/>
      <c r="D473" s="58"/>
      <c r="E473" s="86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1"/>
      <c r="V473" s="1"/>
      <c r="W473" s="1"/>
      <c r="X473" s="1"/>
    </row>
    <row r="474" spans="1:24" ht="12.75" customHeight="1">
      <c r="A474" s="1"/>
      <c r="B474" s="1"/>
      <c r="C474" s="2"/>
      <c r="D474" s="58"/>
      <c r="E474" s="86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1"/>
      <c r="V474" s="1"/>
      <c r="W474" s="1"/>
      <c r="X474" s="1"/>
    </row>
    <row r="475" spans="1:24" ht="12.75" customHeight="1">
      <c r="A475" s="1"/>
      <c r="B475" s="1"/>
      <c r="C475" s="2"/>
      <c r="D475" s="58"/>
      <c r="E475" s="86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1"/>
      <c r="V475" s="1"/>
      <c r="W475" s="1"/>
      <c r="X475" s="1"/>
    </row>
    <row r="476" spans="1:24" ht="12.75" customHeight="1">
      <c r="A476" s="1"/>
      <c r="B476" s="1"/>
      <c r="C476" s="2"/>
      <c r="D476" s="58"/>
      <c r="E476" s="86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1"/>
      <c r="V476" s="1"/>
      <c r="W476" s="1"/>
      <c r="X476" s="1"/>
    </row>
    <row r="477" spans="1:24" ht="12.75" customHeight="1">
      <c r="A477" s="1"/>
      <c r="B477" s="1"/>
      <c r="C477" s="2"/>
      <c r="D477" s="58"/>
      <c r="E477" s="86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1"/>
      <c r="V477" s="1"/>
      <c r="W477" s="1"/>
      <c r="X477" s="1"/>
    </row>
    <row r="478" spans="1:24" ht="12.75" customHeight="1">
      <c r="A478" s="1"/>
      <c r="B478" s="1"/>
      <c r="C478" s="2"/>
      <c r="D478" s="58"/>
      <c r="E478" s="86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1"/>
      <c r="V478" s="1"/>
      <c r="W478" s="1"/>
      <c r="X478" s="1"/>
    </row>
    <row r="479" spans="1:24" ht="12.75" customHeight="1">
      <c r="A479" s="1"/>
      <c r="B479" s="1"/>
      <c r="C479" s="2"/>
      <c r="D479" s="58"/>
      <c r="E479" s="86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1"/>
      <c r="V479" s="1"/>
      <c r="W479" s="1"/>
      <c r="X479" s="1"/>
    </row>
    <row r="480" spans="1:24" ht="12.75" customHeight="1">
      <c r="A480" s="1"/>
      <c r="B480" s="1"/>
      <c r="C480" s="2"/>
      <c r="D480" s="58"/>
      <c r="E480" s="86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1"/>
      <c r="V480" s="1"/>
      <c r="W480" s="1"/>
      <c r="X480" s="1"/>
    </row>
    <row r="481" spans="1:24" ht="12.75" customHeight="1">
      <c r="A481" s="1"/>
      <c r="B481" s="1"/>
      <c r="C481" s="2"/>
      <c r="D481" s="58"/>
      <c r="E481" s="86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1"/>
      <c r="V481" s="1"/>
      <c r="W481" s="1"/>
      <c r="X481" s="1"/>
    </row>
    <row r="482" spans="1:24" ht="12.75" customHeight="1">
      <c r="A482" s="1"/>
      <c r="B482" s="1"/>
      <c r="C482" s="2"/>
      <c r="D482" s="58"/>
      <c r="E482" s="86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1"/>
      <c r="V482" s="1"/>
      <c r="W482" s="1"/>
      <c r="X482" s="1"/>
    </row>
    <row r="483" spans="1:24" ht="12.75" customHeight="1">
      <c r="A483" s="1"/>
      <c r="B483" s="1"/>
      <c r="C483" s="2"/>
      <c r="D483" s="58"/>
      <c r="E483" s="86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1"/>
      <c r="V483" s="1"/>
      <c r="W483" s="1"/>
      <c r="X483" s="1"/>
    </row>
    <row r="484" spans="1:24" ht="12.75" customHeight="1">
      <c r="A484" s="1"/>
      <c r="B484" s="1"/>
      <c r="C484" s="2"/>
      <c r="D484" s="58"/>
      <c r="E484" s="86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1"/>
      <c r="V484" s="1"/>
      <c r="W484" s="1"/>
      <c r="X484" s="1"/>
    </row>
    <row r="485" spans="1:24" ht="12.75" customHeight="1">
      <c r="A485" s="1"/>
      <c r="B485" s="1"/>
      <c r="C485" s="2"/>
      <c r="D485" s="58"/>
      <c r="E485" s="86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1"/>
      <c r="V485" s="1"/>
      <c r="W485" s="1"/>
      <c r="X485" s="1"/>
    </row>
    <row r="486" spans="1:24" ht="12.75" customHeight="1">
      <c r="A486" s="1"/>
      <c r="B486" s="1"/>
      <c r="C486" s="2"/>
      <c r="D486" s="58"/>
      <c r="E486" s="86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1"/>
      <c r="V486" s="1"/>
      <c r="W486" s="1"/>
      <c r="X486" s="1"/>
    </row>
    <row r="487" spans="1:24" ht="12.75" customHeight="1">
      <c r="A487" s="1"/>
      <c r="B487" s="1"/>
      <c r="C487" s="2"/>
      <c r="D487" s="58"/>
      <c r="E487" s="86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1"/>
      <c r="V487" s="1"/>
      <c r="W487" s="1"/>
      <c r="X487" s="1"/>
    </row>
    <row r="488" spans="1:24" ht="12.75" customHeight="1">
      <c r="A488" s="1"/>
      <c r="B488" s="1"/>
      <c r="C488" s="2"/>
      <c r="D488" s="58"/>
      <c r="E488" s="86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1"/>
      <c r="V488" s="1"/>
      <c r="W488" s="1"/>
      <c r="X488" s="1"/>
    </row>
    <row r="489" spans="1:24" ht="12.75" customHeight="1">
      <c r="A489" s="1"/>
      <c r="B489" s="1"/>
      <c r="C489" s="2"/>
      <c r="D489" s="58"/>
      <c r="E489" s="86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1"/>
      <c r="V489" s="1"/>
      <c r="W489" s="1"/>
      <c r="X489" s="1"/>
    </row>
    <row r="490" spans="1:24" ht="12.75" customHeight="1">
      <c r="A490" s="1"/>
      <c r="B490" s="1"/>
      <c r="C490" s="2"/>
      <c r="D490" s="58"/>
      <c r="E490" s="86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1"/>
      <c r="V490" s="1"/>
      <c r="W490" s="1"/>
      <c r="X490" s="1"/>
    </row>
    <row r="491" spans="1:24" ht="12.75" customHeight="1">
      <c r="A491" s="1"/>
      <c r="B491" s="1"/>
      <c r="C491" s="2"/>
      <c r="D491" s="58"/>
      <c r="E491" s="86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1"/>
      <c r="V491" s="1"/>
      <c r="W491" s="1"/>
      <c r="X491" s="1"/>
    </row>
    <row r="492" spans="1:24" ht="12.75" customHeight="1">
      <c r="A492" s="1"/>
      <c r="B492" s="1"/>
      <c r="C492" s="2"/>
      <c r="D492" s="58"/>
      <c r="E492" s="86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1"/>
      <c r="V492" s="1"/>
      <c r="W492" s="1"/>
      <c r="X492" s="1"/>
    </row>
    <row r="493" spans="1:24" ht="12.75" customHeight="1">
      <c r="A493" s="1"/>
      <c r="B493" s="1"/>
      <c r="C493" s="2"/>
      <c r="D493" s="58"/>
      <c r="E493" s="86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1"/>
      <c r="V493" s="1"/>
      <c r="W493" s="1"/>
      <c r="X493" s="1"/>
    </row>
    <row r="494" spans="1:24" ht="12.75" customHeight="1">
      <c r="A494" s="1"/>
      <c r="B494" s="1"/>
      <c r="C494" s="2"/>
      <c r="D494" s="58"/>
      <c r="E494" s="86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1"/>
      <c r="V494" s="1"/>
      <c r="W494" s="1"/>
      <c r="X494" s="1"/>
    </row>
    <row r="495" spans="1:24" ht="12.75" customHeight="1">
      <c r="A495" s="1"/>
      <c r="B495" s="1"/>
      <c r="C495" s="2"/>
      <c r="D495" s="58"/>
      <c r="E495" s="86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1"/>
      <c r="V495" s="1"/>
      <c r="W495" s="1"/>
      <c r="X495" s="1"/>
    </row>
    <row r="496" spans="1:24" ht="12.75" customHeight="1">
      <c r="A496" s="1"/>
      <c r="B496" s="1"/>
      <c r="C496" s="2"/>
      <c r="D496" s="58"/>
      <c r="E496" s="86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1"/>
      <c r="V496" s="1"/>
      <c r="W496" s="1"/>
      <c r="X496" s="1"/>
    </row>
    <row r="497" spans="1:24" ht="12.75" customHeight="1">
      <c r="A497" s="1"/>
      <c r="B497" s="1"/>
      <c r="C497" s="2"/>
      <c r="D497" s="58"/>
      <c r="E497" s="86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1"/>
      <c r="V497" s="1"/>
      <c r="W497" s="1"/>
      <c r="X497" s="1"/>
    </row>
    <row r="498" spans="1:24" ht="12.75" customHeight="1">
      <c r="A498" s="1"/>
      <c r="B498" s="1"/>
      <c r="C498" s="2"/>
      <c r="D498" s="58"/>
      <c r="E498" s="86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1"/>
      <c r="V498" s="1"/>
      <c r="W498" s="1"/>
      <c r="X498" s="1"/>
    </row>
    <row r="499" spans="1:24" ht="12.75" customHeight="1">
      <c r="A499" s="1"/>
      <c r="B499" s="1"/>
      <c r="C499" s="2"/>
      <c r="D499" s="58"/>
      <c r="E499" s="86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1"/>
      <c r="V499" s="1"/>
      <c r="W499" s="1"/>
      <c r="X499" s="1"/>
    </row>
    <row r="500" spans="1:24" ht="12.75" customHeight="1">
      <c r="A500" s="1"/>
      <c r="B500" s="1"/>
      <c r="C500" s="2"/>
      <c r="D500" s="58"/>
      <c r="E500" s="86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1"/>
      <c r="V500" s="1"/>
      <c r="W500" s="1"/>
      <c r="X500" s="1"/>
    </row>
    <row r="501" spans="1:24" ht="12.75" customHeight="1">
      <c r="A501" s="1"/>
      <c r="B501" s="1"/>
      <c r="C501" s="2"/>
      <c r="D501" s="58"/>
      <c r="E501" s="86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1"/>
      <c r="V501" s="1"/>
      <c r="W501" s="1"/>
      <c r="X501" s="1"/>
    </row>
    <row r="502" spans="1:24" ht="12.75" customHeight="1">
      <c r="A502" s="1"/>
      <c r="B502" s="1"/>
      <c r="C502" s="2"/>
      <c r="D502" s="58"/>
      <c r="E502" s="86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1"/>
      <c r="V502" s="1"/>
      <c r="W502" s="1"/>
      <c r="X502" s="1"/>
    </row>
    <row r="503" spans="1:24" ht="12.75" customHeight="1">
      <c r="A503" s="1"/>
      <c r="B503" s="1"/>
      <c r="C503" s="2"/>
      <c r="D503" s="58"/>
      <c r="E503" s="86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1"/>
      <c r="V503" s="1"/>
      <c r="W503" s="1"/>
      <c r="X503" s="1"/>
    </row>
    <row r="504" spans="1:24" ht="12.75" customHeight="1">
      <c r="A504" s="1"/>
      <c r="B504" s="1"/>
      <c r="C504" s="2"/>
      <c r="D504" s="58"/>
      <c r="E504" s="86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1"/>
      <c r="V504" s="1"/>
      <c r="W504" s="1"/>
      <c r="X504" s="1"/>
    </row>
    <row r="505" spans="1:24" ht="12.75" customHeight="1">
      <c r="A505" s="1"/>
      <c r="B505" s="1"/>
      <c r="C505" s="2"/>
      <c r="D505" s="58"/>
      <c r="E505" s="86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1"/>
      <c r="V505" s="1"/>
      <c r="W505" s="1"/>
      <c r="X505" s="1"/>
    </row>
    <row r="506" spans="1:24" ht="12.75" customHeight="1">
      <c r="A506" s="1"/>
      <c r="B506" s="1"/>
      <c r="C506" s="2"/>
      <c r="D506" s="58"/>
      <c r="E506" s="86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1"/>
      <c r="V506" s="1"/>
      <c r="W506" s="1"/>
      <c r="X506" s="1"/>
    </row>
    <row r="507" spans="1:24" ht="12.75" customHeight="1">
      <c r="A507" s="1"/>
      <c r="B507" s="1"/>
      <c r="C507" s="2"/>
      <c r="D507" s="58"/>
      <c r="E507" s="86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1"/>
      <c r="V507" s="1"/>
      <c r="W507" s="1"/>
      <c r="X507" s="1"/>
    </row>
    <row r="508" spans="1:24" ht="12.75" customHeight="1">
      <c r="A508" s="1"/>
      <c r="B508" s="1"/>
      <c r="C508" s="2"/>
      <c r="D508" s="58"/>
      <c r="E508" s="86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1"/>
      <c r="V508" s="1"/>
      <c r="W508" s="1"/>
      <c r="X508" s="1"/>
    </row>
    <row r="509" spans="1:24" ht="12.75" customHeight="1">
      <c r="A509" s="1"/>
      <c r="B509" s="1"/>
      <c r="C509" s="2"/>
      <c r="D509" s="58"/>
      <c r="E509" s="86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1"/>
      <c r="V509" s="1"/>
      <c r="W509" s="1"/>
      <c r="X509" s="1"/>
    </row>
    <row r="510" spans="1:24" ht="12.75" customHeight="1">
      <c r="A510" s="1"/>
      <c r="B510" s="1"/>
      <c r="C510" s="2"/>
      <c r="D510" s="58"/>
      <c r="E510" s="86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1"/>
      <c r="V510" s="1"/>
      <c r="W510" s="1"/>
      <c r="X510" s="1"/>
    </row>
    <row r="511" spans="1:24" ht="12.75" customHeight="1">
      <c r="A511" s="1"/>
      <c r="B511" s="1"/>
      <c r="C511" s="2"/>
      <c r="D511" s="58"/>
      <c r="E511" s="86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1"/>
      <c r="V511" s="1"/>
      <c r="W511" s="1"/>
      <c r="X511" s="1"/>
    </row>
    <row r="512" spans="1:24" ht="12.75" customHeight="1">
      <c r="A512" s="1"/>
      <c r="B512" s="1"/>
      <c r="C512" s="2"/>
      <c r="D512" s="58"/>
      <c r="E512" s="86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1"/>
      <c r="V512" s="1"/>
      <c r="W512" s="1"/>
      <c r="X512" s="1"/>
    </row>
    <row r="513" spans="1:24" ht="12.75" customHeight="1">
      <c r="A513" s="1"/>
      <c r="B513" s="1"/>
      <c r="C513" s="2"/>
      <c r="D513" s="58"/>
      <c r="E513" s="86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1"/>
      <c r="V513" s="1"/>
      <c r="W513" s="1"/>
      <c r="X513" s="1"/>
    </row>
    <row r="514" spans="1:24" ht="12.75" customHeight="1">
      <c r="A514" s="1"/>
      <c r="B514" s="1"/>
      <c r="C514" s="2"/>
      <c r="D514" s="58"/>
      <c r="E514" s="86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1"/>
      <c r="V514" s="1"/>
      <c r="W514" s="1"/>
      <c r="X514" s="1"/>
    </row>
    <row r="515" spans="1:24" ht="12.75" customHeight="1">
      <c r="A515" s="1"/>
      <c r="B515" s="1"/>
      <c r="C515" s="2"/>
      <c r="D515" s="58"/>
      <c r="E515" s="86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1"/>
      <c r="V515" s="1"/>
      <c r="W515" s="1"/>
      <c r="X515" s="1"/>
    </row>
    <row r="516" spans="1:24" ht="12.75" customHeight="1">
      <c r="A516" s="1"/>
      <c r="B516" s="1"/>
      <c r="C516" s="2"/>
      <c r="D516" s="58"/>
      <c r="E516" s="86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1"/>
      <c r="V516" s="1"/>
      <c r="W516" s="1"/>
      <c r="X516" s="1"/>
    </row>
    <row r="517" spans="1:24" ht="12.75" customHeight="1">
      <c r="A517" s="1"/>
      <c r="B517" s="1"/>
      <c r="C517" s="2"/>
      <c r="D517" s="58"/>
      <c r="E517" s="86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1"/>
      <c r="V517" s="1"/>
      <c r="W517" s="1"/>
      <c r="X517" s="1"/>
    </row>
    <row r="518" spans="1:24" ht="12.75" customHeight="1">
      <c r="A518" s="1"/>
      <c r="B518" s="1"/>
      <c r="C518" s="2"/>
      <c r="D518" s="58"/>
      <c r="E518" s="86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1"/>
      <c r="V518" s="1"/>
      <c r="W518" s="1"/>
      <c r="X518" s="1"/>
    </row>
    <row r="519" spans="1:24" ht="12.75" customHeight="1">
      <c r="A519" s="1"/>
      <c r="B519" s="1"/>
      <c r="C519" s="2"/>
      <c r="D519" s="58"/>
      <c r="E519" s="86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1"/>
      <c r="V519" s="1"/>
      <c r="W519" s="1"/>
      <c r="X519" s="1"/>
    </row>
    <row r="520" spans="1:24" ht="12.75" customHeight="1">
      <c r="A520" s="1"/>
      <c r="B520" s="1"/>
      <c r="C520" s="2"/>
      <c r="D520" s="58"/>
      <c r="E520" s="86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1"/>
      <c r="V520" s="1"/>
      <c r="W520" s="1"/>
      <c r="X520" s="1"/>
    </row>
    <row r="521" spans="1:24" ht="12.75" customHeight="1">
      <c r="A521" s="1"/>
      <c r="B521" s="1"/>
      <c r="C521" s="2"/>
      <c r="D521" s="58"/>
      <c r="E521" s="86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1"/>
      <c r="V521" s="1"/>
      <c r="W521" s="1"/>
      <c r="X521" s="1"/>
    </row>
    <row r="522" spans="1:24" ht="12.75" customHeight="1">
      <c r="A522" s="1"/>
      <c r="B522" s="1"/>
      <c r="C522" s="2"/>
      <c r="D522" s="58"/>
      <c r="E522" s="86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1"/>
      <c r="V522" s="1"/>
      <c r="W522" s="1"/>
      <c r="X522" s="1"/>
    </row>
    <row r="523" spans="1:24" ht="12.75" customHeight="1">
      <c r="A523" s="1"/>
      <c r="B523" s="1"/>
      <c r="C523" s="2"/>
      <c r="D523" s="58"/>
      <c r="E523" s="86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1"/>
      <c r="V523" s="1"/>
      <c r="W523" s="1"/>
      <c r="X523" s="1"/>
    </row>
    <row r="524" spans="1:24" ht="12.75" customHeight="1">
      <c r="A524" s="1"/>
      <c r="B524" s="1"/>
      <c r="C524" s="2"/>
      <c r="D524" s="58"/>
      <c r="E524" s="86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1"/>
      <c r="V524" s="1"/>
      <c r="W524" s="1"/>
      <c r="X524" s="1"/>
    </row>
    <row r="525" spans="1:24" ht="12.75" customHeight="1">
      <c r="A525" s="1"/>
      <c r="B525" s="1"/>
      <c r="C525" s="2"/>
      <c r="D525" s="58"/>
      <c r="E525" s="86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1"/>
      <c r="V525" s="1"/>
      <c r="W525" s="1"/>
      <c r="X525" s="1"/>
    </row>
    <row r="526" spans="1:24" ht="12.75" customHeight="1">
      <c r="A526" s="1"/>
      <c r="B526" s="1"/>
      <c r="C526" s="2"/>
      <c r="D526" s="58"/>
      <c r="E526" s="86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1"/>
      <c r="V526" s="1"/>
      <c r="W526" s="1"/>
      <c r="X526" s="1"/>
    </row>
    <row r="527" spans="1:24" ht="12.75" customHeight="1">
      <c r="A527" s="1"/>
      <c r="B527" s="1"/>
      <c r="C527" s="2"/>
      <c r="D527" s="58"/>
      <c r="E527" s="86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1"/>
      <c r="V527" s="1"/>
      <c r="W527" s="1"/>
      <c r="X527" s="1"/>
    </row>
    <row r="528" spans="1:24" ht="12.75" customHeight="1">
      <c r="A528" s="1"/>
      <c r="B528" s="1"/>
      <c r="C528" s="2"/>
      <c r="D528" s="58"/>
      <c r="E528" s="86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1"/>
      <c r="V528" s="1"/>
      <c r="W528" s="1"/>
      <c r="X528" s="1"/>
    </row>
    <row r="529" spans="1:24" ht="12.75" customHeight="1">
      <c r="A529" s="1"/>
      <c r="B529" s="1"/>
      <c r="C529" s="2"/>
      <c r="D529" s="58"/>
      <c r="E529" s="86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1"/>
      <c r="V529" s="1"/>
      <c r="W529" s="1"/>
      <c r="X529" s="1"/>
    </row>
    <row r="530" spans="1:24" ht="12.75" customHeight="1">
      <c r="A530" s="1"/>
      <c r="B530" s="1"/>
      <c r="C530" s="2"/>
      <c r="D530" s="58"/>
      <c r="E530" s="86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1"/>
      <c r="V530" s="1"/>
      <c r="W530" s="1"/>
      <c r="X530" s="1"/>
    </row>
    <row r="531" spans="1:24" ht="12.75" customHeight="1">
      <c r="A531" s="1"/>
      <c r="B531" s="1"/>
      <c r="C531" s="2"/>
      <c r="D531" s="58"/>
      <c r="E531" s="86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1"/>
      <c r="V531" s="1"/>
      <c r="W531" s="1"/>
      <c r="X531" s="1"/>
    </row>
    <row r="532" spans="1:24" ht="12.75" customHeight="1">
      <c r="A532" s="1"/>
      <c r="B532" s="1"/>
      <c r="C532" s="2"/>
      <c r="D532" s="58"/>
      <c r="E532" s="86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1"/>
      <c r="V532" s="1"/>
      <c r="W532" s="1"/>
      <c r="X532" s="1"/>
    </row>
    <row r="533" spans="1:24" ht="12.75" customHeight="1">
      <c r="A533" s="1"/>
      <c r="B533" s="1"/>
      <c r="C533" s="2"/>
      <c r="D533" s="58"/>
      <c r="E533" s="1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1"/>
      <c r="V533" s="1"/>
      <c r="W533" s="1"/>
      <c r="X533" s="1"/>
    </row>
    <row r="534" spans="1:24" ht="12.75" customHeight="1">
      <c r="A534" s="1"/>
      <c r="B534" s="1"/>
      <c r="C534" s="2"/>
      <c r="D534" s="58"/>
      <c r="E534" s="1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1"/>
      <c r="V534" s="1"/>
      <c r="W534" s="1"/>
      <c r="X534" s="1"/>
    </row>
    <row r="535" spans="1:24" ht="12.75" customHeight="1">
      <c r="A535" s="1"/>
      <c r="B535" s="1"/>
      <c r="C535" s="2"/>
      <c r="D535" s="58"/>
      <c r="E535" s="1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1"/>
      <c r="V535" s="1"/>
      <c r="W535" s="1"/>
      <c r="X535" s="1"/>
    </row>
    <row r="536" spans="1:24" ht="12.75" customHeight="1">
      <c r="A536" s="1"/>
      <c r="B536" s="1"/>
      <c r="C536" s="2"/>
      <c r="D536" s="58"/>
      <c r="E536" s="1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1"/>
      <c r="V536" s="1"/>
      <c r="W536" s="1"/>
      <c r="X536" s="1"/>
    </row>
    <row r="537" spans="1:24" ht="12.75" customHeight="1">
      <c r="A537" s="1"/>
      <c r="B537" s="1"/>
      <c r="C537" s="2"/>
      <c r="D537" s="58"/>
      <c r="E537" s="1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1"/>
      <c r="V537" s="1"/>
      <c r="W537" s="1"/>
      <c r="X537" s="1"/>
    </row>
    <row r="538" spans="1:24" ht="12.75" customHeight="1">
      <c r="A538" s="1"/>
      <c r="B538" s="1"/>
      <c r="C538" s="2"/>
      <c r="D538" s="58"/>
      <c r="E538" s="1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1"/>
      <c r="V538" s="1"/>
      <c r="W538" s="1"/>
      <c r="X538" s="1"/>
    </row>
    <row r="539" spans="1:24" ht="12.75" customHeight="1">
      <c r="A539" s="1"/>
      <c r="B539" s="1"/>
      <c r="C539" s="2"/>
      <c r="D539" s="58"/>
      <c r="E539" s="1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1"/>
      <c r="V539" s="1"/>
      <c r="W539" s="1"/>
      <c r="X539" s="1"/>
    </row>
    <row r="540" spans="1:24" ht="12.75" customHeight="1">
      <c r="A540" s="1"/>
      <c r="B540" s="1"/>
      <c r="C540" s="2"/>
      <c r="D540" s="58"/>
      <c r="E540" s="1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1"/>
      <c r="V540" s="1"/>
      <c r="W540" s="1"/>
      <c r="X540" s="1"/>
    </row>
    <row r="541" spans="1:24" ht="12.75" customHeight="1">
      <c r="A541" s="1"/>
      <c r="B541" s="1"/>
      <c r="C541" s="2"/>
      <c r="D541" s="58"/>
      <c r="E541" s="1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1"/>
      <c r="V541" s="1"/>
      <c r="W541" s="1"/>
      <c r="X541" s="1"/>
    </row>
    <row r="542" spans="1:24" ht="12.75" customHeight="1">
      <c r="A542" s="1"/>
      <c r="B542" s="1"/>
      <c r="C542" s="2"/>
      <c r="D542" s="58"/>
      <c r="E542" s="1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1"/>
      <c r="V542" s="1"/>
      <c r="W542" s="1"/>
      <c r="X542" s="1"/>
    </row>
    <row r="543" spans="1:24" ht="12.75" customHeight="1">
      <c r="A543" s="1"/>
      <c r="B543" s="1"/>
      <c r="C543" s="2"/>
      <c r="D543" s="58"/>
      <c r="E543" s="1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1"/>
      <c r="V543" s="1"/>
      <c r="W543" s="1"/>
      <c r="X543" s="1"/>
    </row>
    <row r="544" spans="1:24" ht="12.75" customHeight="1">
      <c r="A544" s="1"/>
      <c r="B544" s="1"/>
      <c r="C544" s="2"/>
      <c r="D544" s="58"/>
      <c r="E544" s="1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1"/>
      <c r="V544" s="1"/>
      <c r="W544" s="1"/>
      <c r="X544" s="1"/>
    </row>
    <row r="545" spans="1:24" ht="12.75" customHeight="1">
      <c r="A545" s="1"/>
      <c r="B545" s="1"/>
      <c r="C545" s="2"/>
      <c r="D545" s="58"/>
      <c r="E545" s="1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1"/>
      <c r="V545" s="1"/>
      <c r="W545" s="1"/>
      <c r="X545" s="1"/>
    </row>
    <row r="546" spans="1:24" ht="12.75" customHeight="1">
      <c r="A546" s="1"/>
      <c r="B546" s="1"/>
      <c r="C546" s="2"/>
      <c r="D546" s="58"/>
      <c r="E546" s="1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1"/>
      <c r="V546" s="1"/>
      <c r="W546" s="1"/>
      <c r="X546" s="1"/>
    </row>
    <row r="547" spans="1:24" ht="12.75" customHeight="1">
      <c r="A547" s="1"/>
      <c r="B547" s="1"/>
      <c r="C547" s="2"/>
      <c r="D547" s="58"/>
      <c r="E547" s="1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1"/>
      <c r="V547" s="1"/>
      <c r="W547" s="1"/>
      <c r="X547" s="1"/>
    </row>
    <row r="548" spans="1:24" ht="12.75" customHeight="1">
      <c r="A548" s="1"/>
      <c r="B548" s="1"/>
      <c r="C548" s="2"/>
      <c r="D548" s="58"/>
      <c r="E548" s="1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1"/>
      <c r="V548" s="1"/>
      <c r="W548" s="1"/>
      <c r="X548" s="1"/>
    </row>
    <row r="549" spans="1:24" ht="12.75" customHeight="1">
      <c r="A549" s="1"/>
      <c r="B549" s="1"/>
      <c r="C549" s="2"/>
      <c r="D549" s="58"/>
      <c r="E549" s="1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1"/>
      <c r="V549" s="1"/>
      <c r="W549" s="1"/>
      <c r="X549" s="1"/>
    </row>
    <row r="550" spans="1:24" ht="12.75" customHeight="1">
      <c r="A550" s="1"/>
      <c r="B550" s="1"/>
      <c r="C550" s="2"/>
      <c r="D550" s="58"/>
      <c r="E550" s="1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1"/>
      <c r="V550" s="1"/>
      <c r="W550" s="1"/>
      <c r="X550" s="1"/>
    </row>
    <row r="551" spans="1:24" ht="12.75" customHeight="1">
      <c r="A551" s="1"/>
      <c r="B551" s="1"/>
      <c r="C551" s="2"/>
      <c r="D551" s="58"/>
      <c r="E551" s="1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1"/>
      <c r="V551" s="1"/>
      <c r="W551" s="1"/>
      <c r="X551" s="1"/>
    </row>
    <row r="552" spans="1:24" ht="12.75" customHeight="1">
      <c r="A552" s="1"/>
      <c r="B552" s="1"/>
      <c r="C552" s="2"/>
      <c r="D552" s="58"/>
      <c r="E552" s="1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1"/>
      <c r="V552" s="1"/>
      <c r="W552" s="1"/>
      <c r="X552" s="1"/>
    </row>
    <row r="553" spans="1:24" ht="12.75" customHeight="1">
      <c r="A553" s="1"/>
      <c r="B553" s="1"/>
      <c r="C553" s="2"/>
      <c r="D553" s="58"/>
      <c r="E553" s="1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1"/>
      <c r="V553" s="1"/>
      <c r="W553" s="1"/>
      <c r="X553" s="1"/>
    </row>
    <row r="554" spans="1:24" ht="12.75" customHeight="1">
      <c r="A554" s="1"/>
      <c r="B554" s="1"/>
      <c r="C554" s="2"/>
      <c r="D554" s="58"/>
      <c r="E554" s="1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1"/>
      <c r="V554" s="1"/>
      <c r="W554" s="1"/>
      <c r="X554" s="1"/>
    </row>
    <row r="555" spans="1:24" ht="12.75" customHeight="1">
      <c r="A555" s="1"/>
      <c r="B555" s="1"/>
      <c r="C555" s="2"/>
      <c r="D555" s="58"/>
      <c r="E555" s="1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1"/>
      <c r="V555" s="1"/>
      <c r="W555" s="1"/>
      <c r="X555" s="1"/>
    </row>
    <row r="556" spans="1:24" ht="12.75" customHeight="1">
      <c r="A556" s="1"/>
      <c r="B556" s="1"/>
      <c r="C556" s="2"/>
      <c r="D556" s="58"/>
      <c r="E556" s="1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1"/>
      <c r="V556" s="1"/>
      <c r="W556" s="1"/>
      <c r="X556" s="1"/>
    </row>
    <row r="557" spans="1:24" ht="12.75" customHeight="1">
      <c r="A557" s="1"/>
      <c r="B557" s="1"/>
      <c r="C557" s="2"/>
      <c r="D557" s="58"/>
      <c r="E557" s="1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1"/>
      <c r="V557" s="1"/>
      <c r="W557" s="1"/>
      <c r="X557" s="1"/>
    </row>
    <row r="558" spans="1:24" ht="12.75" customHeight="1">
      <c r="A558" s="1"/>
      <c r="B558" s="1"/>
      <c r="C558" s="2"/>
      <c r="D558" s="58"/>
      <c r="E558" s="1"/>
      <c r="F558" s="3"/>
      <c r="G558" s="1"/>
      <c r="H558" s="1"/>
      <c r="I558" s="1"/>
      <c r="J558" s="1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2.75" customHeight="1">
      <c r="A559" s="1"/>
      <c r="B559" s="1"/>
      <c r="C559" s="2"/>
      <c r="D559" s="58"/>
      <c r="E559" s="1"/>
      <c r="F559" s="3"/>
      <c r="G559" s="1"/>
      <c r="H559" s="1"/>
      <c r="I559" s="1"/>
      <c r="J559" s="1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2.75" customHeight="1">
      <c r="A560" s="1"/>
      <c r="B560" s="1"/>
      <c r="C560" s="2"/>
      <c r="D560" s="58"/>
      <c r="E560" s="1"/>
      <c r="F560" s="3"/>
      <c r="G560" s="1"/>
      <c r="H560" s="1"/>
      <c r="I560" s="1"/>
      <c r="J560" s="1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2.75" customHeight="1">
      <c r="A561" s="1"/>
      <c r="B561" s="1"/>
      <c r="C561" s="2"/>
      <c r="D561" s="58"/>
      <c r="E561" s="1"/>
      <c r="F561" s="3"/>
      <c r="G561" s="1"/>
      <c r="H561" s="1"/>
      <c r="I561" s="1"/>
      <c r="J561" s="1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2.75" customHeight="1">
      <c r="A562" s="1"/>
      <c r="B562" s="1"/>
      <c r="C562" s="2"/>
      <c r="D562" s="58"/>
      <c r="E562" s="1"/>
      <c r="F562" s="3"/>
      <c r="G562" s="1"/>
      <c r="H562" s="1"/>
      <c r="I562" s="1"/>
      <c r="J562" s="1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2.75" customHeight="1">
      <c r="A563" s="1"/>
      <c r="B563" s="1"/>
      <c r="C563" s="2"/>
      <c r="D563" s="58"/>
      <c r="E563" s="1"/>
      <c r="F563" s="3"/>
      <c r="G563" s="1"/>
      <c r="H563" s="1"/>
      <c r="I563" s="1"/>
      <c r="J563" s="1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2.75" customHeight="1">
      <c r="A564" s="1"/>
      <c r="B564" s="1"/>
      <c r="C564" s="2"/>
      <c r="D564" s="58"/>
      <c r="E564" s="1"/>
      <c r="F564" s="3"/>
      <c r="G564" s="1"/>
      <c r="H564" s="1"/>
      <c r="I564" s="1"/>
      <c r="J564" s="1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2.75" customHeight="1">
      <c r="A565" s="1"/>
      <c r="B565" s="1"/>
      <c r="C565" s="2"/>
      <c r="D565" s="58"/>
      <c r="E565" s="1"/>
      <c r="F565" s="3"/>
      <c r="G565" s="1"/>
      <c r="H565" s="1"/>
      <c r="I565" s="1"/>
      <c r="J565" s="1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2.75" customHeight="1">
      <c r="A566" s="1"/>
      <c r="B566" s="1"/>
      <c r="C566" s="2"/>
      <c r="D566" s="58"/>
      <c r="E566" s="1"/>
      <c r="F566" s="3"/>
      <c r="G566" s="1"/>
      <c r="H566" s="1"/>
      <c r="I566" s="1"/>
      <c r="J566" s="1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2.75" customHeight="1">
      <c r="A567" s="1"/>
      <c r="B567" s="1"/>
      <c r="C567" s="2"/>
      <c r="D567" s="58"/>
      <c r="E567" s="1"/>
      <c r="F567" s="3"/>
      <c r="G567" s="1"/>
      <c r="H567" s="1"/>
      <c r="I567" s="1"/>
      <c r="J567" s="1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2.75" customHeight="1">
      <c r="A568" s="1"/>
      <c r="B568" s="1"/>
      <c r="C568" s="2"/>
      <c r="D568" s="58"/>
      <c r="E568" s="1"/>
      <c r="F568" s="3"/>
      <c r="G568" s="1"/>
      <c r="H568" s="1"/>
      <c r="I568" s="1"/>
      <c r="J568" s="1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2.75" customHeight="1">
      <c r="A569" s="1"/>
      <c r="B569" s="1"/>
      <c r="C569" s="2"/>
      <c r="D569" s="58"/>
      <c r="E569" s="1"/>
      <c r="F569" s="3"/>
      <c r="G569" s="1"/>
      <c r="H569" s="1"/>
      <c r="I569" s="1"/>
      <c r="J569" s="1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2.75" customHeight="1">
      <c r="A570" s="1"/>
      <c r="B570" s="1"/>
      <c r="C570" s="2"/>
      <c r="D570" s="58"/>
      <c r="E570" s="1"/>
      <c r="F570" s="3"/>
      <c r="G570" s="1"/>
      <c r="H570" s="1"/>
      <c r="I570" s="1"/>
      <c r="J570" s="1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2.75" customHeight="1">
      <c r="A571" s="1"/>
      <c r="B571" s="1"/>
      <c r="C571" s="2"/>
      <c r="D571" s="58"/>
      <c r="E571" s="1"/>
      <c r="F571" s="3"/>
      <c r="G571" s="1"/>
      <c r="H571" s="1"/>
      <c r="I571" s="1"/>
      <c r="J571" s="1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2.75" customHeight="1">
      <c r="A572" s="1"/>
      <c r="B572" s="1"/>
      <c r="C572" s="2"/>
      <c r="D572" s="58"/>
      <c r="E572" s="1"/>
      <c r="F572" s="3"/>
      <c r="G572" s="1"/>
      <c r="H572" s="1"/>
      <c r="I572" s="1"/>
      <c r="J572" s="1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2.75" customHeight="1">
      <c r="A573" s="1"/>
      <c r="B573" s="1"/>
      <c r="C573" s="2"/>
      <c r="D573" s="58"/>
      <c r="E573" s="1"/>
      <c r="F573" s="3"/>
      <c r="G573" s="1"/>
      <c r="H573" s="1"/>
      <c r="I573" s="1"/>
      <c r="J573" s="1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2.75" customHeight="1">
      <c r="A574" s="1"/>
      <c r="B574" s="1"/>
      <c r="C574" s="2"/>
      <c r="D574" s="58"/>
      <c r="E574" s="1"/>
      <c r="F574" s="3"/>
      <c r="G574" s="1"/>
      <c r="H574" s="1"/>
      <c r="I574" s="1"/>
      <c r="J574" s="1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2.75" customHeight="1">
      <c r="A575" s="1"/>
      <c r="B575" s="1"/>
      <c r="C575" s="2"/>
      <c r="D575" s="58"/>
      <c r="E575" s="1"/>
      <c r="F575" s="3"/>
      <c r="G575" s="1"/>
      <c r="H575" s="1"/>
      <c r="I575" s="1"/>
      <c r="J575" s="1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2.75" customHeight="1">
      <c r="A576" s="1"/>
      <c r="B576" s="1"/>
      <c r="C576" s="2"/>
      <c r="D576" s="58"/>
      <c r="E576" s="1"/>
      <c r="F576" s="3"/>
      <c r="G576" s="1"/>
      <c r="H576" s="1"/>
      <c r="I576" s="1"/>
      <c r="J576" s="1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2.75" customHeight="1">
      <c r="A577" s="1"/>
      <c r="B577" s="1"/>
      <c r="C577" s="2"/>
      <c r="D577" s="58"/>
      <c r="E577" s="1"/>
      <c r="F577" s="3"/>
      <c r="G577" s="1"/>
      <c r="H577" s="1"/>
      <c r="I577" s="1"/>
      <c r="J577" s="1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2.75" customHeight="1">
      <c r="A578" s="1"/>
      <c r="B578" s="1"/>
      <c r="C578" s="2"/>
      <c r="D578" s="58"/>
      <c r="E578" s="1"/>
      <c r="F578" s="3"/>
      <c r="G578" s="1"/>
      <c r="H578" s="1"/>
      <c r="I578" s="1"/>
      <c r="J578" s="1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2.75" customHeight="1">
      <c r="A579" s="1"/>
      <c r="B579" s="1"/>
      <c r="C579" s="2"/>
      <c r="D579" s="58"/>
      <c r="E579" s="1"/>
      <c r="F579" s="3"/>
      <c r="G579" s="1"/>
      <c r="H579" s="1"/>
      <c r="I579" s="1"/>
      <c r="J579" s="1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2.75" customHeight="1">
      <c r="A580" s="1"/>
      <c r="B580" s="1"/>
      <c r="C580" s="2"/>
      <c r="D580" s="58"/>
      <c r="E580" s="1"/>
      <c r="F580" s="3"/>
      <c r="G580" s="1"/>
      <c r="H580" s="1"/>
      <c r="I580" s="1"/>
      <c r="J580" s="1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2.75" customHeight="1">
      <c r="A581" s="1"/>
      <c r="B581" s="1"/>
      <c r="C581" s="2"/>
      <c r="D581" s="58"/>
      <c r="E581" s="1"/>
      <c r="F581" s="3"/>
      <c r="G581" s="1"/>
      <c r="H581" s="1"/>
      <c r="I581" s="1"/>
      <c r="J581" s="1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2.75" customHeight="1">
      <c r="A582" s="1"/>
      <c r="B582" s="1"/>
      <c r="C582" s="2"/>
      <c r="D582" s="58"/>
      <c r="E582" s="1"/>
      <c r="F582" s="3"/>
      <c r="G582" s="1"/>
      <c r="H582" s="1"/>
      <c r="I582" s="1"/>
      <c r="J582" s="1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2.75" customHeight="1">
      <c r="A583" s="1"/>
      <c r="B583" s="1"/>
      <c r="C583" s="2"/>
      <c r="D583" s="58"/>
      <c r="E583" s="1"/>
      <c r="F583" s="3"/>
      <c r="G583" s="1"/>
      <c r="H583" s="1"/>
      <c r="I583" s="1"/>
      <c r="J583" s="1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2.75" customHeight="1">
      <c r="A584" s="1"/>
      <c r="B584" s="1"/>
      <c r="C584" s="2"/>
      <c r="D584" s="58"/>
      <c r="E584" s="1"/>
      <c r="F584" s="3"/>
      <c r="G584" s="1"/>
      <c r="H584" s="1"/>
      <c r="I584" s="1"/>
      <c r="J584" s="1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2.75" customHeight="1">
      <c r="A585" s="1"/>
      <c r="B585" s="1"/>
      <c r="C585" s="2"/>
      <c r="D585" s="58"/>
      <c r="E585" s="1"/>
      <c r="F585" s="3"/>
      <c r="G585" s="1"/>
      <c r="H585" s="1"/>
      <c r="I585" s="1"/>
      <c r="J585" s="1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2.75" customHeight="1">
      <c r="A586" s="1"/>
      <c r="B586" s="1"/>
      <c r="C586" s="2"/>
      <c r="D586" s="58"/>
      <c r="E586" s="1"/>
      <c r="F586" s="3"/>
      <c r="G586" s="1"/>
      <c r="H586" s="1"/>
      <c r="I586" s="1"/>
      <c r="J586" s="1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2.75" customHeight="1">
      <c r="A587" s="1"/>
      <c r="B587" s="1"/>
      <c r="C587" s="2"/>
      <c r="D587" s="58"/>
      <c r="E587" s="1"/>
      <c r="F587" s="3"/>
      <c r="G587" s="1"/>
      <c r="H587" s="1"/>
      <c r="I587" s="1"/>
      <c r="J587" s="1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2.75" customHeight="1">
      <c r="A588" s="1"/>
      <c r="B588" s="1"/>
      <c r="C588" s="2"/>
      <c r="D588" s="58"/>
      <c r="E588" s="1"/>
      <c r="F588" s="3"/>
      <c r="G588" s="1"/>
      <c r="H588" s="1"/>
      <c r="I588" s="1"/>
      <c r="J588" s="1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2.75" customHeight="1">
      <c r="A589" s="1"/>
      <c r="B589" s="1"/>
      <c r="C589" s="2"/>
      <c r="D589" s="58"/>
      <c r="E589" s="1"/>
      <c r="F589" s="3"/>
      <c r="G589" s="1"/>
      <c r="H589" s="1"/>
      <c r="I589" s="1"/>
      <c r="J589" s="1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2.75" customHeight="1">
      <c r="A590" s="1"/>
      <c r="B590" s="1"/>
      <c r="C590" s="2"/>
      <c r="D590" s="58"/>
      <c r="E590" s="1"/>
      <c r="F590" s="3"/>
      <c r="G590" s="1"/>
      <c r="H590" s="1"/>
      <c r="I590" s="1"/>
      <c r="J590" s="1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2.75" customHeight="1">
      <c r="A591" s="1"/>
      <c r="B591" s="1"/>
      <c r="C591" s="2"/>
      <c r="D591" s="58"/>
      <c r="E591" s="1"/>
      <c r="F591" s="3"/>
      <c r="G591" s="1"/>
      <c r="H591" s="1"/>
      <c r="I591" s="1"/>
      <c r="J591" s="1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2.75" customHeight="1">
      <c r="A592" s="1"/>
      <c r="B592" s="1"/>
      <c r="C592" s="2"/>
      <c r="D592" s="58"/>
      <c r="E592" s="1"/>
      <c r="F592" s="3"/>
      <c r="G592" s="1"/>
      <c r="H592" s="1"/>
      <c r="I592" s="1"/>
      <c r="J592" s="1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2.75" customHeight="1">
      <c r="A593" s="1"/>
      <c r="B593" s="1"/>
      <c r="C593" s="2"/>
      <c r="D593" s="58"/>
      <c r="E593" s="1"/>
      <c r="F593" s="3"/>
      <c r="G593" s="1"/>
      <c r="H593" s="1"/>
      <c r="I593" s="1"/>
      <c r="J593" s="1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2.75" customHeight="1">
      <c r="A594" s="1"/>
      <c r="B594" s="1"/>
      <c r="C594" s="2"/>
      <c r="D594" s="58"/>
      <c r="E594" s="1"/>
      <c r="F594" s="3"/>
      <c r="G594" s="1"/>
      <c r="H594" s="1"/>
      <c r="I594" s="1"/>
      <c r="J594" s="1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2.75" customHeight="1">
      <c r="A595" s="1"/>
      <c r="B595" s="1"/>
      <c r="C595" s="2"/>
      <c r="D595" s="58"/>
      <c r="E595" s="1"/>
      <c r="F595" s="3"/>
      <c r="G595" s="1"/>
      <c r="H595" s="1"/>
      <c r="I595" s="1"/>
      <c r="J595" s="1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2.75" customHeight="1">
      <c r="A596" s="1"/>
      <c r="B596" s="1"/>
      <c r="C596" s="2"/>
      <c r="D596" s="58"/>
      <c r="E596" s="1"/>
      <c r="F596" s="3"/>
      <c r="G596" s="1"/>
      <c r="H596" s="1"/>
      <c r="I596" s="1"/>
      <c r="J596" s="1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2.75" customHeight="1">
      <c r="A597" s="1"/>
      <c r="B597" s="1"/>
      <c r="C597" s="2"/>
      <c r="D597" s="58"/>
      <c r="E597" s="1"/>
      <c r="F597" s="3"/>
      <c r="G597" s="1"/>
      <c r="H597" s="1"/>
      <c r="I597" s="1"/>
      <c r="J597" s="1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2.75" customHeight="1">
      <c r="A598" s="1"/>
      <c r="B598" s="1"/>
      <c r="C598" s="2"/>
      <c r="D598" s="58"/>
      <c r="E598" s="1"/>
      <c r="F598" s="3"/>
      <c r="G598" s="1"/>
      <c r="H598" s="1"/>
      <c r="I598" s="1"/>
      <c r="J598" s="1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2.75" customHeight="1">
      <c r="A599" s="1"/>
      <c r="B599" s="1"/>
      <c r="C599" s="2"/>
      <c r="D599" s="58"/>
      <c r="E599" s="1"/>
      <c r="F599" s="3"/>
      <c r="G599" s="1"/>
      <c r="H599" s="1"/>
      <c r="I599" s="1"/>
      <c r="J599" s="1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2.75" customHeight="1">
      <c r="A600" s="1"/>
      <c r="B600" s="1"/>
      <c r="C600" s="2"/>
      <c r="D600" s="58"/>
      <c r="E600" s="1"/>
      <c r="F600" s="3"/>
      <c r="G600" s="1"/>
      <c r="H600" s="1"/>
      <c r="I600" s="1"/>
      <c r="J600" s="1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2.75" customHeight="1">
      <c r="A601" s="1"/>
      <c r="B601" s="1"/>
      <c r="C601" s="2"/>
      <c r="D601" s="58"/>
      <c r="E601" s="1"/>
      <c r="F601" s="3"/>
      <c r="G601" s="1"/>
      <c r="H601" s="1"/>
      <c r="I601" s="1"/>
      <c r="J601" s="1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2.75" customHeight="1">
      <c r="A602" s="1"/>
      <c r="B602" s="1"/>
      <c r="C602" s="2"/>
      <c r="D602" s="58"/>
      <c r="E602" s="1"/>
      <c r="F602" s="3"/>
      <c r="G602" s="1"/>
      <c r="H602" s="1"/>
      <c r="I602" s="1"/>
      <c r="J602" s="1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2.75" customHeight="1">
      <c r="A603" s="1"/>
      <c r="B603" s="1"/>
      <c r="C603" s="2"/>
      <c r="D603" s="58"/>
      <c r="E603" s="1"/>
      <c r="F603" s="3"/>
      <c r="G603" s="1"/>
      <c r="H603" s="1"/>
      <c r="I603" s="1"/>
      <c r="J603" s="1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2.75" customHeight="1">
      <c r="A604" s="1"/>
      <c r="B604" s="1"/>
      <c r="C604" s="2"/>
      <c r="D604" s="58"/>
      <c r="E604" s="1"/>
      <c r="F604" s="3"/>
      <c r="G604" s="1"/>
      <c r="H604" s="1"/>
      <c r="I604" s="1"/>
      <c r="J604" s="1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2.75" customHeight="1">
      <c r="A605" s="1"/>
      <c r="B605" s="1"/>
      <c r="C605" s="2"/>
      <c r="D605" s="58"/>
      <c r="E605" s="1"/>
      <c r="F605" s="3"/>
      <c r="G605" s="1"/>
      <c r="H605" s="1"/>
      <c r="I605" s="1"/>
      <c r="J605" s="1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2.75" customHeight="1">
      <c r="A606" s="1"/>
      <c r="B606" s="1"/>
      <c r="C606" s="2"/>
      <c r="D606" s="58"/>
      <c r="E606" s="1"/>
      <c r="F606" s="3"/>
      <c r="G606" s="1"/>
      <c r="H606" s="1"/>
      <c r="I606" s="1"/>
      <c r="J606" s="1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2.75" customHeight="1">
      <c r="A607" s="1"/>
      <c r="B607" s="1"/>
      <c r="C607" s="2"/>
      <c r="D607" s="58"/>
      <c r="E607" s="1"/>
      <c r="F607" s="3"/>
      <c r="G607" s="1"/>
      <c r="H607" s="1"/>
      <c r="I607" s="1"/>
      <c r="J607" s="1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2.75" customHeight="1">
      <c r="A608" s="1"/>
      <c r="B608" s="1"/>
      <c r="C608" s="2"/>
      <c r="D608" s="58"/>
      <c r="E608" s="1"/>
      <c r="F608" s="3"/>
      <c r="G608" s="1"/>
      <c r="H608" s="1"/>
      <c r="I608" s="1"/>
      <c r="J608" s="1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2.75" customHeight="1">
      <c r="A609" s="1"/>
      <c r="B609" s="1"/>
      <c r="C609" s="2"/>
      <c r="D609" s="58"/>
      <c r="E609" s="1"/>
      <c r="F609" s="3"/>
      <c r="G609" s="1"/>
      <c r="H609" s="1"/>
      <c r="I609" s="1"/>
      <c r="J609" s="1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2.75" customHeight="1">
      <c r="A610" s="1"/>
      <c r="B610" s="1"/>
      <c r="C610" s="2"/>
      <c r="D610" s="58"/>
      <c r="E610" s="1"/>
      <c r="F610" s="3"/>
      <c r="G610" s="1"/>
      <c r="H610" s="1"/>
      <c r="I610" s="1"/>
      <c r="J610" s="1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2.75" customHeight="1">
      <c r="A611" s="1"/>
      <c r="B611" s="1"/>
      <c r="C611" s="2"/>
      <c r="D611" s="58"/>
      <c r="E611" s="1"/>
      <c r="F611" s="3"/>
      <c r="G611" s="1"/>
      <c r="H611" s="1"/>
      <c r="I611" s="1"/>
      <c r="J611" s="1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2.75" customHeight="1">
      <c r="A612" s="1"/>
      <c r="B612" s="1"/>
      <c r="C612" s="2"/>
      <c r="D612" s="58"/>
      <c r="E612" s="1"/>
      <c r="F612" s="3"/>
      <c r="G612" s="1"/>
      <c r="H612" s="1"/>
      <c r="I612" s="1"/>
      <c r="J612" s="1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2.75" customHeight="1">
      <c r="A613" s="1"/>
      <c r="B613" s="1"/>
      <c r="C613" s="2"/>
      <c r="D613" s="58"/>
      <c r="E613" s="1"/>
      <c r="F613" s="3"/>
      <c r="G613" s="1"/>
      <c r="H613" s="1"/>
      <c r="I613" s="1"/>
      <c r="J613" s="1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2.75" customHeight="1">
      <c r="A614" s="1"/>
      <c r="B614" s="1"/>
      <c r="C614" s="2"/>
      <c r="D614" s="58"/>
      <c r="E614" s="1"/>
      <c r="F614" s="3"/>
      <c r="G614" s="1"/>
      <c r="H614" s="1"/>
      <c r="I614" s="1"/>
      <c r="J614" s="1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2.75" customHeight="1">
      <c r="A615" s="1"/>
      <c r="B615" s="1"/>
      <c r="C615" s="2"/>
      <c r="D615" s="58"/>
      <c r="E615" s="1"/>
      <c r="F615" s="3"/>
      <c r="G615" s="1"/>
      <c r="H615" s="1"/>
      <c r="I615" s="1"/>
      <c r="J615" s="1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2.75" customHeight="1">
      <c r="A616" s="1"/>
      <c r="B616" s="1"/>
      <c r="C616" s="2"/>
      <c r="D616" s="58"/>
      <c r="E616" s="1"/>
      <c r="F616" s="3"/>
      <c r="G616" s="1"/>
      <c r="H616" s="1"/>
      <c r="I616" s="1"/>
      <c r="J616" s="1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2.75" customHeight="1">
      <c r="A617" s="1"/>
      <c r="B617" s="1"/>
      <c r="C617" s="2"/>
      <c r="D617" s="58"/>
      <c r="E617" s="1"/>
      <c r="F617" s="3"/>
      <c r="G617" s="1"/>
      <c r="H617" s="1"/>
      <c r="I617" s="1"/>
      <c r="J617" s="1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2.75" customHeight="1">
      <c r="A618" s="1"/>
      <c r="B618" s="1"/>
      <c r="C618" s="2"/>
      <c r="D618" s="58"/>
      <c r="E618" s="1"/>
      <c r="F618" s="3"/>
      <c r="G618" s="1"/>
      <c r="H618" s="1"/>
      <c r="I618" s="1"/>
      <c r="J618" s="1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2.75" customHeight="1">
      <c r="A619" s="1"/>
      <c r="B619" s="1"/>
      <c r="C619" s="2"/>
      <c r="D619" s="58"/>
      <c r="E619" s="1"/>
      <c r="F619" s="3"/>
      <c r="G619" s="1"/>
      <c r="H619" s="1"/>
      <c r="I619" s="1"/>
      <c r="J619" s="1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2.75" customHeight="1">
      <c r="A620" s="1"/>
      <c r="B620" s="1"/>
      <c r="C620" s="2"/>
      <c r="D620" s="58"/>
      <c r="E620" s="1"/>
      <c r="F620" s="3"/>
      <c r="G620" s="1"/>
      <c r="H620" s="1"/>
      <c r="I620" s="1"/>
      <c r="J620" s="1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2.75" customHeight="1">
      <c r="A621" s="1"/>
      <c r="B621" s="1"/>
      <c r="C621" s="2"/>
      <c r="D621" s="58"/>
      <c r="E621" s="1"/>
      <c r="F621" s="3"/>
      <c r="G621" s="1"/>
      <c r="H621" s="1"/>
      <c r="I621" s="1"/>
      <c r="J621" s="1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2.75" customHeight="1">
      <c r="A622" s="1"/>
      <c r="B622" s="1"/>
      <c r="C622" s="2"/>
      <c r="D622" s="58"/>
      <c r="E622" s="1"/>
      <c r="F622" s="3"/>
      <c r="G622" s="1"/>
      <c r="H622" s="1"/>
      <c r="I622" s="1"/>
      <c r="J622" s="1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2.75" customHeight="1">
      <c r="A623" s="1"/>
      <c r="B623" s="1"/>
      <c r="C623" s="2"/>
      <c r="D623" s="58"/>
      <c r="E623" s="1"/>
      <c r="F623" s="3"/>
      <c r="G623" s="1"/>
      <c r="H623" s="1"/>
      <c r="I623" s="1"/>
      <c r="J623" s="1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2.75" customHeight="1">
      <c r="A624" s="1"/>
      <c r="B624" s="1"/>
      <c r="C624" s="2"/>
      <c r="D624" s="58"/>
      <c r="E624" s="1"/>
      <c r="F624" s="3"/>
      <c r="G624" s="1"/>
      <c r="H624" s="1"/>
      <c r="I624" s="1"/>
      <c r="J624" s="1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2.75" customHeight="1">
      <c r="A625" s="1"/>
      <c r="B625" s="1"/>
      <c r="C625" s="2"/>
      <c r="D625" s="58"/>
      <c r="E625" s="1"/>
      <c r="F625" s="3"/>
      <c r="G625" s="1"/>
      <c r="H625" s="1"/>
      <c r="I625" s="1"/>
      <c r="J625" s="1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2.75" customHeight="1">
      <c r="A626" s="1"/>
      <c r="B626" s="1"/>
      <c r="C626" s="2"/>
      <c r="D626" s="58"/>
      <c r="E626" s="1"/>
      <c r="F626" s="3"/>
      <c r="G626" s="1"/>
      <c r="H626" s="1"/>
      <c r="I626" s="1"/>
      <c r="J626" s="1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2.75" customHeight="1">
      <c r="A627" s="1"/>
      <c r="B627" s="1"/>
      <c r="C627" s="2"/>
      <c r="D627" s="58"/>
      <c r="E627" s="1"/>
      <c r="F627" s="3"/>
      <c r="G627" s="1"/>
      <c r="H627" s="1"/>
      <c r="I627" s="1"/>
      <c r="J627" s="1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2.75" customHeight="1">
      <c r="A628" s="1"/>
      <c r="B628" s="1"/>
      <c r="C628" s="2"/>
      <c r="D628" s="58"/>
      <c r="E628" s="1"/>
      <c r="F628" s="3"/>
      <c r="G628" s="1"/>
      <c r="H628" s="1"/>
      <c r="I628" s="1"/>
      <c r="J628" s="1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2.75" customHeight="1">
      <c r="A629" s="1"/>
      <c r="B629" s="1"/>
      <c r="C629" s="2"/>
      <c r="D629" s="58"/>
      <c r="E629" s="1"/>
      <c r="F629" s="3"/>
      <c r="G629" s="1"/>
      <c r="H629" s="1"/>
      <c r="I629" s="1"/>
      <c r="J629" s="1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2.75" customHeight="1">
      <c r="A630" s="1"/>
      <c r="B630" s="1"/>
      <c r="C630" s="2"/>
      <c r="D630" s="58"/>
      <c r="E630" s="1"/>
      <c r="F630" s="3"/>
      <c r="G630" s="1"/>
      <c r="H630" s="1"/>
      <c r="I630" s="1"/>
      <c r="J630" s="1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2.75" customHeight="1">
      <c r="A631" s="1"/>
      <c r="B631" s="1"/>
      <c r="C631" s="2"/>
      <c r="D631" s="58"/>
      <c r="E631" s="1"/>
      <c r="F631" s="3"/>
      <c r="G631" s="1"/>
      <c r="H631" s="1"/>
      <c r="I631" s="1"/>
      <c r="J631" s="1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2.75" customHeight="1">
      <c r="A632" s="1"/>
      <c r="B632" s="1"/>
      <c r="C632" s="2"/>
      <c r="D632" s="58"/>
      <c r="E632" s="1"/>
      <c r="F632" s="3"/>
      <c r="G632" s="1"/>
      <c r="H632" s="1"/>
      <c r="I632" s="1"/>
      <c r="J632" s="1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2.75" customHeight="1">
      <c r="A633" s="1"/>
      <c r="B633" s="1"/>
      <c r="C633" s="2"/>
      <c r="D633" s="58"/>
      <c r="E633" s="1"/>
      <c r="F633" s="3"/>
      <c r="G633" s="1"/>
      <c r="H633" s="1"/>
      <c r="I633" s="1"/>
      <c r="J633" s="1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2.75" customHeight="1">
      <c r="A634" s="1"/>
      <c r="B634" s="1"/>
      <c r="C634" s="2"/>
      <c r="D634" s="58"/>
      <c r="E634" s="1"/>
      <c r="F634" s="3"/>
      <c r="G634" s="1"/>
      <c r="H634" s="1"/>
      <c r="I634" s="1"/>
      <c r="J634" s="1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2.75" customHeight="1">
      <c r="A635" s="1"/>
      <c r="B635" s="1"/>
      <c r="C635" s="2"/>
      <c r="D635" s="58"/>
      <c r="E635" s="1"/>
      <c r="F635" s="3"/>
      <c r="G635" s="1"/>
      <c r="H635" s="1"/>
      <c r="I635" s="1"/>
      <c r="J635" s="1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2.75" customHeight="1">
      <c r="A636" s="1"/>
      <c r="B636" s="1"/>
      <c r="C636" s="2"/>
      <c r="D636" s="58"/>
      <c r="E636" s="1"/>
      <c r="F636" s="3"/>
      <c r="G636" s="1"/>
      <c r="H636" s="1"/>
      <c r="I636" s="1"/>
      <c r="J636" s="1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2.75" customHeight="1">
      <c r="A637" s="1"/>
      <c r="B637" s="1"/>
      <c r="C637" s="2"/>
      <c r="D637" s="58"/>
      <c r="E637" s="1"/>
      <c r="F637" s="3"/>
      <c r="G637" s="1"/>
      <c r="H637" s="1"/>
      <c r="I637" s="1"/>
      <c r="J637" s="1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2.75" customHeight="1">
      <c r="A638" s="1"/>
      <c r="B638" s="1"/>
      <c r="C638" s="2"/>
      <c r="D638" s="58"/>
      <c r="E638" s="1"/>
      <c r="F638" s="3"/>
      <c r="G638" s="1"/>
      <c r="H638" s="1"/>
      <c r="I638" s="1"/>
      <c r="J638" s="1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2.75" customHeight="1">
      <c r="A639" s="1"/>
      <c r="B639" s="1"/>
      <c r="C639" s="2"/>
      <c r="D639" s="58"/>
      <c r="E639" s="1"/>
      <c r="F639" s="3"/>
      <c r="G639" s="1"/>
      <c r="H639" s="1"/>
      <c r="I639" s="1"/>
      <c r="J639" s="1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2.75" customHeight="1">
      <c r="A640" s="1"/>
      <c r="B640" s="1"/>
      <c r="C640" s="2"/>
      <c r="D640" s="58"/>
      <c r="E640" s="1"/>
      <c r="F640" s="3"/>
      <c r="G640" s="1"/>
      <c r="H640" s="1"/>
      <c r="I640" s="1"/>
      <c r="J640" s="1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2.75" customHeight="1">
      <c r="A641" s="1"/>
      <c r="B641" s="1"/>
      <c r="C641" s="2"/>
      <c r="D641" s="58"/>
      <c r="E641" s="1"/>
      <c r="F641" s="3"/>
      <c r="G641" s="1"/>
      <c r="H641" s="1"/>
      <c r="I641" s="1"/>
      <c r="J641" s="1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2.75" customHeight="1">
      <c r="A642" s="1"/>
      <c r="B642" s="1"/>
      <c r="C642" s="2"/>
      <c r="D642" s="58"/>
      <c r="E642" s="1"/>
      <c r="F642" s="3"/>
      <c r="G642" s="1"/>
      <c r="H642" s="1"/>
      <c r="I642" s="1"/>
      <c r="J642" s="1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2.75" customHeight="1">
      <c r="A643" s="1"/>
      <c r="B643" s="1"/>
      <c r="C643" s="2"/>
      <c r="D643" s="58"/>
      <c r="E643" s="1"/>
      <c r="F643" s="3"/>
      <c r="G643" s="1"/>
      <c r="H643" s="1"/>
      <c r="I643" s="1"/>
      <c r="J643" s="1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2.75" customHeight="1">
      <c r="A644" s="1"/>
      <c r="B644" s="1"/>
      <c r="C644" s="2"/>
      <c r="D644" s="58"/>
      <c r="E644" s="1"/>
      <c r="F644" s="3"/>
      <c r="G644" s="1"/>
      <c r="H644" s="1"/>
      <c r="I644" s="1"/>
      <c r="J644" s="1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2.75" customHeight="1">
      <c r="A645" s="1"/>
      <c r="B645" s="1"/>
      <c r="C645" s="2"/>
      <c r="D645" s="58"/>
      <c r="E645" s="1"/>
      <c r="F645" s="3"/>
      <c r="G645" s="1"/>
      <c r="H645" s="1"/>
      <c r="I645" s="1"/>
      <c r="J645" s="1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2.75" customHeight="1">
      <c r="A646" s="1"/>
      <c r="B646" s="1"/>
      <c r="C646" s="2"/>
      <c r="D646" s="58"/>
      <c r="E646" s="1"/>
      <c r="F646" s="3"/>
      <c r="G646" s="1"/>
      <c r="H646" s="1"/>
      <c r="I646" s="1"/>
      <c r="J646" s="1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2.75" customHeight="1">
      <c r="A647" s="1"/>
      <c r="B647" s="1"/>
      <c r="C647" s="2"/>
      <c r="D647" s="58"/>
      <c r="E647" s="1"/>
      <c r="F647" s="3"/>
      <c r="G647" s="1"/>
      <c r="H647" s="1"/>
      <c r="I647" s="1"/>
      <c r="J647" s="1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2.75" customHeight="1">
      <c r="A648" s="1"/>
      <c r="B648" s="1"/>
      <c r="C648" s="2"/>
      <c r="D648" s="58"/>
      <c r="E648" s="1"/>
      <c r="F648" s="3"/>
      <c r="G648" s="1"/>
      <c r="H648" s="1"/>
      <c r="I648" s="1"/>
      <c r="J648" s="1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2.75" customHeight="1">
      <c r="A649" s="1"/>
      <c r="B649" s="1"/>
      <c r="C649" s="2"/>
      <c r="D649" s="58"/>
      <c r="E649" s="1"/>
      <c r="F649" s="3"/>
      <c r="G649" s="1"/>
      <c r="H649" s="1"/>
      <c r="I649" s="1"/>
      <c r="J649" s="1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2.75" customHeight="1">
      <c r="A650" s="1"/>
      <c r="B650" s="1"/>
      <c r="C650" s="2"/>
      <c r="D650" s="58"/>
      <c r="E650" s="1"/>
      <c r="F650" s="3"/>
      <c r="G650" s="1"/>
      <c r="H650" s="1"/>
      <c r="I650" s="1"/>
      <c r="J650" s="1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2.75" customHeight="1">
      <c r="A651" s="1"/>
      <c r="B651" s="1"/>
      <c r="C651" s="2"/>
      <c r="D651" s="58"/>
      <c r="E651" s="1"/>
      <c r="F651" s="3"/>
      <c r="G651" s="1"/>
      <c r="H651" s="1"/>
      <c r="I651" s="1"/>
      <c r="J651" s="1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2.75" customHeight="1">
      <c r="A652" s="1"/>
      <c r="B652" s="1"/>
      <c r="C652" s="2"/>
      <c r="D652" s="58"/>
      <c r="E652" s="1"/>
      <c r="F652" s="3"/>
      <c r="G652" s="1"/>
      <c r="H652" s="1"/>
      <c r="I652" s="1"/>
      <c r="J652" s="1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2.75" customHeight="1">
      <c r="A653" s="1"/>
      <c r="B653" s="1"/>
      <c r="C653" s="2"/>
      <c r="D653" s="58"/>
      <c r="E653" s="1"/>
      <c r="F653" s="3"/>
      <c r="G653" s="1"/>
      <c r="H653" s="1"/>
      <c r="I653" s="1"/>
      <c r="J653" s="1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2.75" customHeight="1">
      <c r="A654" s="1"/>
      <c r="B654" s="1"/>
      <c r="C654" s="2"/>
      <c r="D654" s="58"/>
      <c r="E654" s="1"/>
      <c r="F654" s="3"/>
      <c r="G654" s="1"/>
      <c r="H654" s="1"/>
      <c r="I654" s="1"/>
      <c r="J654" s="1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2.75" customHeight="1">
      <c r="A655" s="1"/>
      <c r="B655" s="1"/>
      <c r="C655" s="2"/>
      <c r="D655" s="58"/>
      <c r="E655" s="1"/>
      <c r="F655" s="3"/>
      <c r="G655" s="1"/>
      <c r="H655" s="1"/>
      <c r="I655" s="1"/>
      <c r="J655" s="1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2.75" customHeight="1">
      <c r="A656" s="1"/>
      <c r="B656" s="1"/>
      <c r="C656" s="2"/>
      <c r="D656" s="58"/>
      <c r="E656" s="1"/>
      <c r="F656" s="3"/>
      <c r="G656" s="1"/>
      <c r="H656" s="1"/>
      <c r="I656" s="1"/>
      <c r="J656" s="1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2.75" customHeight="1">
      <c r="A657" s="1"/>
      <c r="B657" s="1"/>
      <c r="C657" s="2"/>
      <c r="D657" s="58"/>
      <c r="E657" s="1"/>
      <c r="F657" s="3"/>
      <c r="G657" s="1"/>
      <c r="H657" s="1"/>
      <c r="I657" s="1"/>
      <c r="J657" s="1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2.75" customHeight="1">
      <c r="A658" s="1"/>
      <c r="B658" s="1"/>
      <c r="C658" s="2"/>
      <c r="D658" s="58"/>
      <c r="E658" s="1"/>
      <c r="F658" s="3"/>
      <c r="G658" s="1"/>
      <c r="H658" s="1"/>
      <c r="I658" s="1"/>
      <c r="J658" s="1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2.75" customHeight="1">
      <c r="A659" s="1"/>
      <c r="B659" s="1"/>
      <c r="C659" s="2"/>
      <c r="D659" s="58"/>
      <c r="E659" s="1"/>
      <c r="F659" s="3"/>
      <c r="G659" s="1"/>
      <c r="H659" s="1"/>
      <c r="I659" s="1"/>
      <c r="J659" s="1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2.75" customHeight="1">
      <c r="A660" s="1"/>
      <c r="B660" s="1"/>
      <c r="C660" s="2"/>
      <c r="D660" s="58"/>
      <c r="E660" s="1"/>
      <c r="F660" s="3"/>
      <c r="G660" s="1"/>
      <c r="H660" s="1"/>
      <c r="I660" s="1"/>
      <c r="J660" s="1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2.75" customHeight="1">
      <c r="A661" s="1"/>
      <c r="B661" s="1"/>
      <c r="C661" s="2"/>
      <c r="D661" s="58"/>
      <c r="E661" s="1"/>
      <c r="F661" s="3"/>
      <c r="G661" s="1"/>
      <c r="H661" s="1"/>
      <c r="I661" s="1"/>
      <c r="J661" s="1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2.75" customHeight="1">
      <c r="A662" s="1"/>
      <c r="B662" s="1"/>
      <c r="C662" s="2"/>
      <c r="D662" s="58"/>
      <c r="E662" s="1"/>
      <c r="F662" s="3"/>
      <c r="G662" s="1"/>
      <c r="H662" s="1"/>
      <c r="I662" s="1"/>
      <c r="J662" s="1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2.75" customHeight="1">
      <c r="A663" s="1"/>
      <c r="B663" s="1"/>
      <c r="C663" s="2"/>
      <c r="D663" s="58"/>
      <c r="E663" s="1"/>
      <c r="F663" s="3"/>
      <c r="G663" s="1"/>
      <c r="H663" s="1"/>
      <c r="I663" s="1"/>
      <c r="J663" s="1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2.75" customHeight="1">
      <c r="A664" s="1"/>
      <c r="B664" s="1"/>
      <c r="C664" s="2"/>
      <c r="D664" s="58"/>
      <c r="E664" s="1"/>
      <c r="F664" s="3"/>
      <c r="G664" s="1"/>
      <c r="H664" s="1"/>
      <c r="I664" s="1"/>
      <c r="J664" s="1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2.75" customHeight="1">
      <c r="A665" s="1"/>
      <c r="B665" s="1"/>
      <c r="C665" s="2"/>
      <c r="D665" s="58"/>
      <c r="E665" s="1"/>
      <c r="F665" s="3"/>
      <c r="G665" s="1"/>
      <c r="H665" s="1"/>
      <c r="I665" s="1"/>
      <c r="J665" s="1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2.75" customHeight="1">
      <c r="A666" s="1"/>
      <c r="B666" s="1"/>
      <c r="C666" s="2"/>
      <c r="D666" s="58"/>
      <c r="E666" s="1"/>
      <c r="F666" s="3"/>
      <c r="G666" s="1"/>
      <c r="H666" s="1"/>
      <c r="I666" s="1"/>
      <c r="J666" s="1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2.75" customHeight="1">
      <c r="A667" s="1"/>
      <c r="B667" s="1"/>
      <c r="C667" s="2"/>
      <c r="D667" s="58"/>
      <c r="E667" s="1"/>
      <c r="F667" s="3"/>
      <c r="G667" s="1"/>
      <c r="H667" s="1"/>
      <c r="I667" s="1"/>
      <c r="J667" s="1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2.75" customHeight="1">
      <c r="A668" s="1"/>
      <c r="B668" s="1"/>
      <c r="C668" s="2"/>
      <c r="D668" s="58"/>
      <c r="E668" s="1"/>
      <c r="F668" s="3"/>
      <c r="G668" s="1"/>
      <c r="H668" s="1"/>
      <c r="I668" s="1"/>
      <c r="J668" s="1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2.75" customHeight="1">
      <c r="A669" s="1"/>
      <c r="B669" s="1"/>
      <c r="C669" s="2"/>
      <c r="D669" s="58"/>
      <c r="E669" s="1"/>
      <c r="F669" s="3"/>
      <c r="G669" s="1"/>
      <c r="H669" s="1"/>
      <c r="I669" s="1"/>
      <c r="J669" s="1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2.75" customHeight="1">
      <c r="A670" s="1"/>
      <c r="B670" s="1"/>
      <c r="C670" s="2"/>
      <c r="D670" s="58"/>
      <c r="E670" s="1"/>
      <c r="F670" s="3"/>
      <c r="G670" s="1"/>
      <c r="H670" s="1"/>
      <c r="I670" s="1"/>
      <c r="J670" s="1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2.75" customHeight="1">
      <c r="A671" s="1"/>
      <c r="B671" s="1"/>
      <c r="C671" s="2"/>
      <c r="D671" s="58"/>
      <c r="E671" s="1"/>
      <c r="F671" s="3"/>
      <c r="G671" s="1"/>
      <c r="H671" s="1"/>
      <c r="I671" s="1"/>
      <c r="J671" s="1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2.75" customHeight="1">
      <c r="A672" s="1"/>
      <c r="B672" s="1"/>
      <c r="C672" s="2"/>
      <c r="D672" s="58"/>
      <c r="E672" s="1"/>
      <c r="F672" s="3"/>
      <c r="G672" s="1"/>
      <c r="H672" s="1"/>
      <c r="I672" s="1"/>
      <c r="J672" s="1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2.75" customHeight="1">
      <c r="A673" s="1"/>
      <c r="B673" s="1"/>
      <c r="C673" s="2"/>
      <c r="D673" s="58"/>
      <c r="E673" s="1"/>
      <c r="F673" s="3"/>
      <c r="G673" s="1"/>
      <c r="H673" s="1"/>
      <c r="I673" s="1"/>
      <c r="J673" s="1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2.75" customHeight="1">
      <c r="A674" s="1"/>
      <c r="B674" s="1"/>
      <c r="C674" s="2"/>
      <c r="D674" s="58"/>
      <c r="E674" s="1"/>
      <c r="F674" s="3"/>
      <c r="G674" s="1"/>
      <c r="H674" s="1"/>
      <c r="I674" s="1"/>
      <c r="J674" s="1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2.75" customHeight="1">
      <c r="A675" s="1"/>
      <c r="B675" s="1"/>
      <c r="C675" s="2"/>
      <c r="D675" s="58"/>
      <c r="E675" s="1"/>
      <c r="F675" s="3"/>
      <c r="G675" s="1"/>
      <c r="H675" s="1"/>
      <c r="I675" s="1"/>
      <c r="J675" s="1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2.75" customHeight="1">
      <c r="A676" s="1"/>
      <c r="B676" s="1"/>
      <c r="C676" s="2"/>
      <c r="D676" s="58"/>
      <c r="E676" s="1"/>
      <c r="F676" s="3"/>
      <c r="G676" s="1"/>
      <c r="H676" s="1"/>
      <c r="I676" s="1"/>
      <c r="J676" s="1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2.75" customHeight="1">
      <c r="A677" s="1"/>
      <c r="B677" s="1"/>
      <c r="C677" s="2"/>
      <c r="D677" s="58"/>
      <c r="E677" s="1"/>
      <c r="F677" s="3"/>
      <c r="G677" s="1"/>
      <c r="H677" s="1"/>
      <c r="I677" s="1"/>
      <c r="J677" s="1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2.75" customHeight="1">
      <c r="A678" s="1"/>
      <c r="B678" s="1"/>
      <c r="C678" s="2"/>
      <c r="D678" s="58"/>
      <c r="E678" s="1"/>
      <c r="F678" s="3"/>
      <c r="G678" s="1"/>
      <c r="H678" s="1"/>
      <c r="I678" s="1"/>
      <c r="J678" s="1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2.75" customHeight="1">
      <c r="A679" s="1"/>
      <c r="B679" s="1"/>
      <c r="C679" s="2"/>
      <c r="D679" s="58"/>
      <c r="E679" s="1"/>
      <c r="F679" s="3"/>
      <c r="G679" s="1"/>
      <c r="H679" s="1"/>
      <c r="I679" s="1"/>
      <c r="J679" s="1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2.75" customHeight="1">
      <c r="A680" s="1"/>
      <c r="B680" s="1"/>
      <c r="C680" s="2"/>
      <c r="D680" s="58"/>
      <c r="E680" s="1"/>
      <c r="F680" s="3"/>
      <c r="G680" s="1"/>
      <c r="H680" s="1"/>
      <c r="I680" s="1"/>
      <c r="J680" s="1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2.75" customHeight="1">
      <c r="A681" s="1"/>
      <c r="B681" s="1"/>
      <c r="C681" s="2"/>
      <c r="D681" s="58"/>
      <c r="E681" s="1"/>
      <c r="F681" s="3"/>
      <c r="G681" s="1"/>
      <c r="H681" s="1"/>
      <c r="I681" s="1"/>
      <c r="J681" s="1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2.75" customHeight="1">
      <c r="A682" s="1"/>
      <c r="B682" s="1"/>
      <c r="C682" s="2"/>
      <c r="D682" s="58"/>
      <c r="E682" s="1"/>
      <c r="F682" s="3"/>
      <c r="G682" s="1"/>
      <c r="H682" s="1"/>
      <c r="I682" s="1"/>
      <c r="J682" s="1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2.75" customHeight="1">
      <c r="A683" s="1"/>
      <c r="B683" s="1"/>
      <c r="C683" s="2"/>
      <c r="D683" s="58"/>
      <c r="E683" s="1"/>
      <c r="F683" s="3"/>
      <c r="G683" s="1"/>
      <c r="H683" s="1"/>
      <c r="I683" s="1"/>
      <c r="J683" s="1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2.75" customHeight="1">
      <c r="A684" s="1"/>
      <c r="B684" s="1"/>
      <c r="C684" s="2"/>
      <c r="D684" s="58"/>
      <c r="E684" s="1"/>
      <c r="F684" s="3"/>
      <c r="G684" s="1"/>
      <c r="H684" s="1"/>
      <c r="I684" s="1"/>
      <c r="J684" s="1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2.75" customHeight="1">
      <c r="A685" s="1"/>
      <c r="B685" s="1"/>
      <c r="C685" s="2"/>
      <c r="D685" s="58"/>
      <c r="E685" s="1"/>
      <c r="F685" s="3"/>
      <c r="G685" s="1"/>
      <c r="H685" s="1"/>
      <c r="I685" s="1"/>
      <c r="J685" s="1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2.75" customHeight="1">
      <c r="A686" s="1"/>
      <c r="B686" s="1"/>
      <c r="C686" s="2"/>
      <c r="D686" s="58"/>
      <c r="E686" s="1"/>
      <c r="F686" s="3"/>
      <c r="G686" s="1"/>
      <c r="H686" s="1"/>
      <c r="I686" s="1"/>
      <c r="J686" s="1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2.75" customHeight="1">
      <c r="A687" s="1"/>
      <c r="B687" s="1"/>
      <c r="C687" s="2"/>
      <c r="D687" s="58"/>
      <c r="E687" s="1"/>
      <c r="F687" s="3"/>
      <c r="G687" s="1"/>
      <c r="H687" s="1"/>
      <c r="I687" s="1"/>
      <c r="J687" s="1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2.75" customHeight="1">
      <c r="A688" s="1"/>
      <c r="B688" s="1"/>
      <c r="C688" s="2"/>
      <c r="D688" s="58"/>
      <c r="E688" s="1"/>
      <c r="F688" s="3"/>
      <c r="G688" s="1"/>
      <c r="H688" s="1"/>
      <c r="I688" s="1"/>
      <c r="J688" s="1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2.75" customHeight="1">
      <c r="A689" s="1"/>
      <c r="B689" s="1"/>
      <c r="C689" s="2"/>
      <c r="D689" s="58"/>
      <c r="E689" s="1"/>
      <c r="F689" s="3"/>
      <c r="G689" s="1"/>
      <c r="H689" s="1"/>
      <c r="I689" s="1"/>
      <c r="J689" s="1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2.75" customHeight="1">
      <c r="A690" s="1"/>
      <c r="B690" s="1"/>
      <c r="C690" s="2"/>
      <c r="D690" s="58"/>
      <c r="E690" s="1"/>
      <c r="F690" s="3"/>
      <c r="G690" s="1"/>
      <c r="H690" s="1"/>
      <c r="I690" s="1"/>
      <c r="J690" s="1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2.75" customHeight="1">
      <c r="A691" s="1"/>
      <c r="B691" s="1"/>
      <c r="C691" s="2"/>
      <c r="D691" s="58"/>
      <c r="E691" s="1"/>
      <c r="F691" s="3"/>
      <c r="G691" s="1"/>
      <c r="H691" s="1"/>
      <c r="I691" s="1"/>
      <c r="J691" s="1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2.75" customHeight="1">
      <c r="A692" s="1"/>
      <c r="B692" s="1"/>
      <c r="C692" s="2"/>
      <c r="D692" s="58"/>
      <c r="E692" s="1"/>
      <c r="F692" s="3"/>
      <c r="G692" s="1"/>
      <c r="H692" s="1"/>
      <c r="I692" s="1"/>
      <c r="J692" s="1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2.75" customHeight="1">
      <c r="A693" s="1"/>
      <c r="B693" s="1"/>
      <c r="C693" s="2"/>
      <c r="D693" s="58"/>
      <c r="E693" s="1"/>
      <c r="F693" s="3"/>
      <c r="G693" s="1"/>
      <c r="H693" s="1"/>
      <c r="I693" s="1"/>
      <c r="J693" s="1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2.75" customHeight="1">
      <c r="A694" s="1"/>
      <c r="B694" s="1"/>
      <c r="C694" s="2"/>
      <c r="D694" s="58"/>
      <c r="E694" s="1"/>
      <c r="F694" s="3"/>
      <c r="G694" s="1"/>
      <c r="H694" s="1"/>
      <c r="I694" s="1"/>
      <c r="J694" s="1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2.75" customHeight="1">
      <c r="A695" s="1"/>
      <c r="B695" s="1"/>
      <c r="C695" s="2"/>
      <c r="D695" s="58"/>
      <c r="E695" s="1"/>
      <c r="F695" s="3"/>
      <c r="G695" s="1"/>
      <c r="H695" s="1"/>
      <c r="I695" s="1"/>
      <c r="J695" s="1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2.75" customHeight="1">
      <c r="A696" s="1"/>
      <c r="B696" s="1"/>
      <c r="C696" s="2"/>
      <c r="D696" s="58"/>
      <c r="E696" s="1"/>
      <c r="F696" s="3"/>
      <c r="G696" s="1"/>
      <c r="H696" s="1"/>
      <c r="I696" s="1"/>
      <c r="J696" s="1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2.75" customHeight="1">
      <c r="A697" s="1"/>
      <c r="B697" s="1"/>
      <c r="C697" s="2"/>
      <c r="D697" s="58"/>
      <c r="E697" s="1"/>
      <c r="F697" s="3"/>
      <c r="G697" s="1"/>
      <c r="H697" s="1"/>
      <c r="I697" s="1"/>
      <c r="J697" s="1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2.75" customHeight="1">
      <c r="A698" s="1"/>
      <c r="B698" s="1"/>
      <c r="C698" s="2"/>
      <c r="D698" s="58"/>
      <c r="E698" s="1"/>
      <c r="F698" s="3"/>
      <c r="G698" s="1"/>
      <c r="H698" s="1"/>
      <c r="I698" s="1"/>
      <c r="J698" s="1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2.75" customHeight="1">
      <c r="A699" s="1"/>
      <c r="B699" s="1"/>
      <c r="C699" s="2"/>
      <c r="D699" s="58"/>
      <c r="E699" s="1"/>
      <c r="F699" s="3"/>
      <c r="G699" s="1"/>
      <c r="H699" s="1"/>
      <c r="I699" s="1"/>
      <c r="J699" s="1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2.75" customHeight="1">
      <c r="A700" s="1"/>
      <c r="B700" s="1"/>
      <c r="C700" s="2"/>
      <c r="D700" s="58"/>
      <c r="E700" s="1"/>
      <c r="F700" s="3"/>
      <c r="G700" s="1"/>
      <c r="H700" s="1"/>
      <c r="I700" s="1"/>
      <c r="J700" s="1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2.75" customHeight="1">
      <c r="A701" s="1"/>
      <c r="B701" s="1"/>
      <c r="C701" s="2"/>
      <c r="D701" s="58"/>
      <c r="E701" s="1"/>
      <c r="F701" s="3"/>
      <c r="G701" s="1"/>
      <c r="H701" s="1"/>
      <c r="I701" s="1"/>
      <c r="J701" s="1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2.75" customHeight="1">
      <c r="A702" s="1"/>
      <c r="B702" s="1"/>
      <c r="C702" s="2"/>
      <c r="D702" s="58"/>
      <c r="E702" s="1"/>
      <c r="F702" s="3"/>
      <c r="G702" s="1"/>
      <c r="H702" s="1"/>
      <c r="I702" s="1"/>
      <c r="J702" s="1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2.75" customHeight="1">
      <c r="A703" s="1"/>
      <c r="B703" s="1"/>
      <c r="C703" s="2"/>
      <c r="D703" s="58"/>
      <c r="E703" s="1"/>
      <c r="F703" s="3"/>
      <c r="G703" s="1"/>
      <c r="H703" s="1"/>
      <c r="I703" s="1"/>
      <c r="J703" s="1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2.75" customHeight="1">
      <c r="A704" s="1"/>
      <c r="B704" s="1"/>
      <c r="C704" s="2"/>
      <c r="D704" s="58"/>
      <c r="E704" s="1"/>
      <c r="F704" s="3"/>
      <c r="G704" s="1"/>
      <c r="H704" s="1"/>
      <c r="I704" s="1"/>
      <c r="J704" s="1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2.75" customHeight="1">
      <c r="A705" s="1"/>
      <c r="B705" s="1"/>
      <c r="C705" s="2"/>
      <c r="D705" s="58"/>
      <c r="E705" s="1"/>
      <c r="F705" s="3"/>
      <c r="G705" s="1"/>
      <c r="H705" s="1"/>
      <c r="I705" s="1"/>
      <c r="J705" s="1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2.75" customHeight="1">
      <c r="A706" s="1"/>
      <c r="B706" s="1"/>
      <c r="C706" s="2"/>
      <c r="D706" s="58"/>
      <c r="E706" s="1"/>
      <c r="F706" s="3"/>
      <c r="G706" s="1"/>
      <c r="H706" s="1"/>
      <c r="I706" s="1"/>
      <c r="J706" s="1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2.75" customHeight="1">
      <c r="A707" s="1"/>
      <c r="B707" s="1"/>
      <c r="C707" s="2"/>
      <c r="D707" s="58"/>
      <c r="E707" s="1"/>
      <c r="F707" s="3"/>
      <c r="G707" s="1"/>
      <c r="H707" s="1"/>
      <c r="I707" s="1"/>
      <c r="J707" s="1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2.75" customHeight="1">
      <c r="A708" s="1"/>
      <c r="B708" s="1"/>
      <c r="C708" s="2"/>
      <c r="D708" s="58"/>
      <c r="E708" s="1"/>
      <c r="F708" s="3"/>
      <c r="G708" s="1"/>
      <c r="H708" s="1"/>
      <c r="I708" s="1"/>
      <c r="J708" s="1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2.75" customHeight="1">
      <c r="A709" s="1"/>
      <c r="B709" s="1"/>
      <c r="C709" s="2"/>
      <c r="D709" s="58"/>
      <c r="E709" s="1"/>
      <c r="F709" s="3"/>
      <c r="G709" s="1"/>
      <c r="H709" s="1"/>
      <c r="I709" s="1"/>
      <c r="J709" s="1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2.75" customHeight="1">
      <c r="A710" s="1"/>
      <c r="B710" s="1"/>
      <c r="C710" s="2"/>
      <c r="D710" s="58"/>
      <c r="E710" s="1"/>
      <c r="F710" s="3"/>
      <c r="G710" s="1"/>
      <c r="H710" s="1"/>
      <c r="I710" s="1"/>
      <c r="J710" s="1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2.75" customHeight="1">
      <c r="A711" s="1"/>
      <c r="B711" s="1"/>
      <c r="C711" s="2"/>
      <c r="D711" s="58"/>
      <c r="E711" s="1"/>
      <c r="F711" s="3"/>
      <c r="G711" s="1"/>
      <c r="H711" s="1"/>
      <c r="I711" s="1"/>
      <c r="J711" s="1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2.75" customHeight="1">
      <c r="A712" s="1"/>
      <c r="B712" s="1"/>
      <c r="C712" s="2"/>
      <c r="D712" s="58"/>
      <c r="E712" s="1"/>
      <c r="F712" s="3"/>
      <c r="G712" s="1"/>
      <c r="H712" s="1"/>
      <c r="I712" s="1"/>
      <c r="J712" s="1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2.75" customHeight="1">
      <c r="A713" s="1"/>
      <c r="B713" s="1"/>
      <c r="C713" s="2"/>
      <c r="D713" s="58"/>
      <c r="E713" s="1"/>
      <c r="F713" s="3"/>
      <c r="G713" s="1"/>
      <c r="H713" s="1"/>
      <c r="I713" s="1"/>
      <c r="J713" s="1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2.75" customHeight="1">
      <c r="A714" s="1"/>
      <c r="B714" s="1"/>
      <c r="C714" s="2"/>
      <c r="D714" s="58"/>
      <c r="E714" s="1"/>
      <c r="F714" s="3"/>
      <c r="G714" s="1"/>
      <c r="H714" s="1"/>
      <c r="I714" s="1"/>
      <c r="J714" s="1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2.75" customHeight="1">
      <c r="A715" s="1"/>
      <c r="B715" s="1"/>
      <c r="C715" s="2"/>
      <c r="D715" s="58"/>
      <c r="E715" s="1"/>
      <c r="F715" s="3"/>
      <c r="G715" s="1"/>
      <c r="H715" s="1"/>
      <c r="I715" s="1"/>
      <c r="J715" s="1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2.75" customHeight="1">
      <c r="A716" s="1"/>
      <c r="B716" s="1"/>
      <c r="C716" s="2"/>
      <c r="D716" s="58"/>
      <c r="E716" s="1"/>
      <c r="F716" s="3"/>
      <c r="G716" s="1"/>
      <c r="H716" s="1"/>
      <c r="I716" s="1"/>
      <c r="J716" s="1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2.75" customHeight="1">
      <c r="A717" s="1"/>
      <c r="B717" s="1"/>
      <c r="C717" s="2"/>
      <c r="D717" s="58"/>
      <c r="E717" s="1"/>
      <c r="F717" s="3"/>
      <c r="G717" s="1"/>
      <c r="H717" s="1"/>
      <c r="I717" s="1"/>
      <c r="J717" s="1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2.75" customHeight="1">
      <c r="A718" s="1"/>
      <c r="B718" s="1"/>
      <c r="C718" s="2"/>
      <c r="D718" s="58"/>
      <c r="E718" s="1"/>
      <c r="F718" s="3"/>
      <c r="G718" s="1"/>
      <c r="H718" s="1"/>
      <c r="I718" s="1"/>
      <c r="J718" s="1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2.75" customHeight="1">
      <c r="A719" s="1"/>
      <c r="B719" s="1"/>
      <c r="C719" s="2"/>
      <c r="D719" s="58"/>
      <c r="E719" s="1"/>
      <c r="F719" s="3"/>
      <c r="G719" s="1"/>
      <c r="H719" s="1"/>
      <c r="I719" s="1"/>
      <c r="J719" s="1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2.75" customHeight="1">
      <c r="A720" s="1"/>
      <c r="B720" s="1"/>
      <c r="C720" s="2"/>
      <c r="D720" s="58"/>
      <c r="E720" s="1"/>
      <c r="F720" s="3"/>
      <c r="G720" s="1"/>
      <c r="H720" s="1"/>
      <c r="I720" s="1"/>
      <c r="J720" s="1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2.75" customHeight="1">
      <c r="A721" s="1"/>
      <c r="B721" s="1"/>
      <c r="C721" s="2"/>
      <c r="D721" s="58"/>
      <c r="E721" s="1"/>
      <c r="F721" s="3"/>
      <c r="G721" s="1"/>
      <c r="H721" s="1"/>
      <c r="I721" s="1"/>
      <c r="J721" s="1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2.75" customHeight="1">
      <c r="A722" s="1"/>
      <c r="B722" s="1"/>
      <c r="C722" s="2"/>
      <c r="D722" s="58"/>
      <c r="E722" s="1"/>
      <c r="F722" s="3"/>
      <c r="G722" s="1"/>
      <c r="H722" s="1"/>
      <c r="I722" s="1"/>
      <c r="J722" s="1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2.75" customHeight="1">
      <c r="A723" s="1"/>
      <c r="B723" s="1"/>
      <c r="C723" s="2"/>
      <c r="D723" s="58"/>
      <c r="E723" s="1"/>
      <c r="F723" s="3"/>
      <c r="G723" s="1"/>
      <c r="H723" s="1"/>
      <c r="I723" s="1"/>
      <c r="J723" s="1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2.75" customHeight="1">
      <c r="A724" s="1"/>
      <c r="B724" s="1"/>
      <c r="C724" s="2"/>
      <c r="D724" s="58"/>
      <c r="E724" s="1"/>
      <c r="F724" s="3"/>
      <c r="G724" s="1"/>
      <c r="H724" s="1"/>
      <c r="I724" s="1"/>
      <c r="J724" s="1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2.75" customHeight="1">
      <c r="A725" s="1"/>
      <c r="B725" s="1"/>
      <c r="C725" s="2"/>
      <c r="D725" s="58"/>
      <c r="E725" s="1"/>
      <c r="F725" s="3"/>
      <c r="G725" s="1"/>
      <c r="H725" s="1"/>
      <c r="I725" s="1"/>
      <c r="J725" s="1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2.75" customHeight="1">
      <c r="A726" s="1"/>
      <c r="B726" s="1"/>
      <c r="C726" s="2"/>
      <c r="D726" s="58"/>
      <c r="E726" s="1"/>
      <c r="F726" s="3"/>
      <c r="G726" s="1"/>
      <c r="H726" s="1"/>
      <c r="I726" s="1"/>
      <c r="J726" s="1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2.75" customHeight="1">
      <c r="A727" s="1"/>
      <c r="B727" s="1"/>
      <c r="C727" s="2"/>
      <c r="D727" s="58"/>
      <c r="E727" s="1"/>
      <c r="F727" s="3"/>
      <c r="G727" s="1"/>
      <c r="H727" s="1"/>
      <c r="I727" s="1"/>
      <c r="J727" s="1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2.75" customHeight="1">
      <c r="A728" s="1"/>
      <c r="B728" s="1"/>
      <c r="C728" s="2"/>
      <c r="D728" s="58"/>
      <c r="E728" s="1"/>
      <c r="F728" s="3"/>
      <c r="G728" s="1"/>
      <c r="H728" s="1"/>
      <c r="I728" s="1"/>
      <c r="J728" s="1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2.75" customHeight="1">
      <c r="A729" s="1"/>
      <c r="B729" s="1"/>
      <c r="C729" s="2"/>
      <c r="D729" s="58"/>
      <c r="E729" s="1"/>
      <c r="F729" s="3"/>
      <c r="G729" s="1"/>
      <c r="H729" s="1"/>
      <c r="I729" s="1"/>
      <c r="J729" s="1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2.75" customHeight="1">
      <c r="A730" s="1"/>
      <c r="B730" s="1"/>
      <c r="C730" s="2"/>
      <c r="D730" s="58"/>
      <c r="E730" s="1"/>
      <c r="F730" s="3"/>
      <c r="G730" s="1"/>
      <c r="H730" s="1"/>
      <c r="I730" s="1"/>
      <c r="J730" s="1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2.75" customHeight="1">
      <c r="A731" s="1"/>
      <c r="B731" s="1"/>
      <c r="C731" s="2"/>
      <c r="D731" s="58"/>
      <c r="E731" s="1"/>
      <c r="F731" s="3"/>
      <c r="G731" s="1"/>
      <c r="H731" s="1"/>
      <c r="I731" s="1"/>
      <c r="J731" s="1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2.75" customHeight="1">
      <c r="A732" s="1"/>
      <c r="B732" s="1"/>
      <c r="C732" s="2"/>
      <c r="D732" s="58"/>
      <c r="E732" s="1"/>
      <c r="F732" s="3"/>
      <c r="G732" s="1"/>
      <c r="H732" s="1"/>
      <c r="I732" s="1"/>
      <c r="J732" s="1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2.75" customHeight="1">
      <c r="A733" s="1"/>
      <c r="B733" s="1"/>
      <c r="C733" s="2"/>
      <c r="D733" s="58"/>
      <c r="E733" s="1"/>
      <c r="F733" s="3"/>
      <c r="G733" s="1"/>
      <c r="H733" s="1"/>
      <c r="I733" s="1"/>
      <c r="J733" s="1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2.75" customHeight="1">
      <c r="A734" s="1"/>
      <c r="B734" s="1"/>
      <c r="C734" s="2"/>
      <c r="D734" s="58"/>
      <c r="E734" s="1"/>
      <c r="F734" s="3"/>
      <c r="G734" s="1"/>
      <c r="H734" s="1"/>
      <c r="I734" s="1"/>
      <c r="J734" s="1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2.75" customHeight="1">
      <c r="A735" s="1"/>
      <c r="B735" s="1"/>
      <c r="C735" s="2"/>
      <c r="D735" s="58"/>
      <c r="E735" s="1"/>
      <c r="F735" s="3"/>
      <c r="G735" s="1"/>
      <c r="H735" s="1"/>
      <c r="I735" s="1"/>
      <c r="J735" s="1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2.75" customHeight="1">
      <c r="A736" s="1"/>
      <c r="B736" s="1"/>
      <c r="C736" s="2"/>
      <c r="D736" s="58"/>
      <c r="E736" s="1"/>
      <c r="F736" s="3"/>
      <c r="G736" s="1"/>
      <c r="H736" s="1"/>
      <c r="I736" s="1"/>
      <c r="J736" s="1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2.75" customHeight="1">
      <c r="A737" s="1"/>
      <c r="B737" s="1"/>
      <c r="C737" s="2"/>
      <c r="D737" s="58"/>
      <c r="E737" s="1"/>
      <c r="F737" s="3"/>
      <c r="G737" s="1"/>
      <c r="H737" s="1"/>
      <c r="I737" s="1"/>
      <c r="J737" s="1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2.75" customHeight="1">
      <c r="A738" s="1"/>
      <c r="B738" s="1"/>
      <c r="C738" s="2"/>
      <c r="D738" s="58"/>
      <c r="E738" s="1"/>
      <c r="F738" s="3"/>
      <c r="G738" s="1"/>
      <c r="H738" s="1"/>
      <c r="I738" s="1"/>
      <c r="J738" s="1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2.75" customHeight="1">
      <c r="A739" s="1"/>
      <c r="B739" s="1"/>
      <c r="C739" s="2"/>
      <c r="D739" s="58"/>
      <c r="E739" s="1"/>
      <c r="F739" s="3"/>
      <c r="G739" s="1"/>
      <c r="H739" s="1"/>
      <c r="I739" s="1"/>
      <c r="J739" s="1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2.75" customHeight="1">
      <c r="A740" s="1"/>
      <c r="B740" s="1"/>
      <c r="C740" s="2"/>
      <c r="D740" s="58"/>
      <c r="E740" s="1"/>
      <c r="F740" s="3"/>
      <c r="G740" s="1"/>
      <c r="H740" s="1"/>
      <c r="I740" s="1"/>
      <c r="J740" s="1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2.75" customHeight="1">
      <c r="A741" s="1"/>
      <c r="B741" s="1"/>
      <c r="C741" s="2"/>
      <c r="D741" s="58"/>
      <c r="E741" s="1"/>
      <c r="F741" s="3"/>
      <c r="G741" s="1"/>
      <c r="H741" s="1"/>
      <c r="I741" s="1"/>
      <c r="J741" s="1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2.75" customHeight="1">
      <c r="A742" s="1"/>
      <c r="B742" s="1"/>
      <c r="C742" s="2"/>
      <c r="D742" s="58"/>
      <c r="E742" s="1"/>
      <c r="F742" s="3"/>
      <c r="G742" s="1"/>
      <c r="H742" s="1"/>
      <c r="I742" s="1"/>
      <c r="J742" s="1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2.75" customHeight="1">
      <c r="A743" s="1"/>
      <c r="B743" s="1"/>
      <c r="C743" s="2"/>
      <c r="D743" s="58"/>
      <c r="E743" s="1"/>
      <c r="F743" s="3"/>
      <c r="G743" s="1"/>
      <c r="H743" s="1"/>
      <c r="I743" s="1"/>
      <c r="J743" s="1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2.75" customHeight="1">
      <c r="A744" s="1"/>
      <c r="B744" s="1"/>
      <c r="C744" s="2"/>
      <c r="D744" s="58"/>
      <c r="E744" s="1"/>
      <c r="F744" s="3"/>
      <c r="G744" s="1"/>
      <c r="H744" s="1"/>
      <c r="I744" s="1"/>
      <c r="J744" s="1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2.75" customHeight="1">
      <c r="A745" s="1"/>
      <c r="B745" s="1"/>
      <c r="C745" s="2"/>
      <c r="D745" s="58"/>
      <c r="E745" s="1"/>
      <c r="F745" s="3"/>
      <c r="G745" s="1"/>
      <c r="H745" s="1"/>
      <c r="I745" s="1"/>
      <c r="J745" s="1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2.75" customHeight="1">
      <c r="A746" s="1"/>
      <c r="B746" s="1"/>
      <c r="C746" s="2"/>
      <c r="D746" s="58"/>
      <c r="E746" s="1"/>
      <c r="F746" s="3"/>
      <c r="G746" s="1"/>
      <c r="H746" s="1"/>
      <c r="I746" s="1"/>
      <c r="J746" s="1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2.75" customHeight="1">
      <c r="A747" s="1"/>
      <c r="B747" s="1"/>
      <c r="C747" s="2"/>
      <c r="D747" s="58"/>
      <c r="E747" s="1"/>
      <c r="F747" s="3"/>
      <c r="G747" s="1"/>
      <c r="H747" s="1"/>
      <c r="I747" s="1"/>
      <c r="J747" s="1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2.75" customHeight="1">
      <c r="A748" s="1"/>
      <c r="B748" s="1"/>
      <c r="C748" s="2"/>
      <c r="D748" s="58"/>
      <c r="E748" s="1"/>
      <c r="F748" s="3"/>
      <c r="G748" s="1"/>
      <c r="H748" s="1"/>
      <c r="I748" s="1"/>
      <c r="J748" s="1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2.75" customHeight="1">
      <c r="A749" s="1"/>
      <c r="B749" s="1"/>
      <c r="C749" s="2"/>
      <c r="D749" s="58"/>
      <c r="E749" s="1"/>
      <c r="F749" s="3"/>
      <c r="G749" s="1"/>
      <c r="H749" s="1"/>
      <c r="I749" s="1"/>
      <c r="J749" s="1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2.75" customHeight="1">
      <c r="A750" s="1"/>
      <c r="B750" s="1"/>
      <c r="C750" s="2"/>
      <c r="D750" s="58"/>
      <c r="E750" s="1"/>
      <c r="F750" s="3"/>
      <c r="G750" s="1"/>
      <c r="H750" s="1"/>
      <c r="I750" s="1"/>
      <c r="J750" s="1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2.75" customHeight="1">
      <c r="A751" s="1"/>
      <c r="B751" s="1"/>
      <c r="C751" s="2"/>
      <c r="D751" s="58"/>
      <c r="E751" s="1"/>
      <c r="F751" s="3"/>
      <c r="G751" s="1"/>
      <c r="H751" s="1"/>
      <c r="I751" s="1"/>
      <c r="J751" s="1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2.75" customHeight="1">
      <c r="A752" s="1"/>
      <c r="B752" s="1"/>
      <c r="C752" s="2"/>
      <c r="D752" s="58"/>
      <c r="E752" s="1"/>
      <c r="F752" s="3"/>
      <c r="G752" s="1"/>
      <c r="H752" s="1"/>
      <c r="I752" s="1"/>
      <c r="J752" s="1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2.75" customHeight="1">
      <c r="A753" s="1"/>
      <c r="B753" s="1"/>
      <c r="C753" s="2"/>
      <c r="D753" s="58"/>
      <c r="E753" s="1"/>
      <c r="F753" s="3"/>
      <c r="G753" s="1"/>
      <c r="H753" s="1"/>
      <c r="I753" s="1"/>
      <c r="J753" s="1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2.75" customHeight="1">
      <c r="A754" s="1"/>
      <c r="B754" s="1"/>
      <c r="C754" s="2"/>
      <c r="D754" s="58"/>
      <c r="E754" s="1"/>
      <c r="F754" s="3"/>
      <c r="G754" s="1"/>
      <c r="H754" s="1"/>
      <c r="I754" s="1"/>
      <c r="J754" s="1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2.75" customHeight="1">
      <c r="A755" s="1"/>
      <c r="B755" s="1"/>
      <c r="C755" s="2"/>
      <c r="D755" s="58"/>
      <c r="E755" s="1"/>
      <c r="F755" s="3"/>
      <c r="G755" s="1"/>
      <c r="H755" s="1"/>
      <c r="I755" s="1"/>
      <c r="J755" s="1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2.75" customHeight="1">
      <c r="A756" s="1"/>
      <c r="B756" s="1"/>
      <c r="C756" s="2"/>
      <c r="D756" s="58"/>
      <c r="E756" s="1"/>
      <c r="F756" s="3"/>
      <c r="G756" s="1"/>
      <c r="H756" s="1"/>
      <c r="I756" s="1"/>
      <c r="J756" s="1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2.75" customHeight="1">
      <c r="A757" s="1"/>
      <c r="B757" s="1"/>
      <c r="C757" s="2"/>
      <c r="D757" s="58"/>
      <c r="E757" s="1"/>
      <c r="F757" s="3"/>
      <c r="G757" s="1"/>
      <c r="H757" s="1"/>
      <c r="I757" s="1"/>
      <c r="J757" s="1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2.75" customHeight="1">
      <c r="A758" s="1"/>
      <c r="B758" s="1"/>
      <c r="C758" s="2"/>
      <c r="D758" s="58"/>
      <c r="E758" s="1"/>
      <c r="F758" s="3"/>
      <c r="G758" s="1"/>
      <c r="H758" s="1"/>
      <c r="I758" s="1"/>
      <c r="J758" s="1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2.75" customHeight="1">
      <c r="A759" s="1"/>
      <c r="B759" s="1"/>
      <c r="C759" s="2"/>
      <c r="D759" s="58"/>
      <c r="E759" s="1"/>
      <c r="F759" s="3"/>
      <c r="G759" s="1"/>
      <c r="H759" s="1"/>
      <c r="I759" s="1"/>
      <c r="J759" s="1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2.75" customHeight="1">
      <c r="A760" s="1"/>
      <c r="B760" s="1"/>
      <c r="C760" s="2"/>
      <c r="D760" s="58"/>
      <c r="E760" s="1"/>
      <c r="F760" s="3"/>
      <c r="G760" s="1"/>
      <c r="H760" s="1"/>
      <c r="I760" s="1"/>
      <c r="J760" s="1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2.75" customHeight="1">
      <c r="A761" s="1"/>
      <c r="B761" s="1"/>
      <c r="C761" s="2"/>
      <c r="D761" s="58"/>
      <c r="E761" s="1"/>
      <c r="F761" s="3"/>
      <c r="G761" s="1"/>
      <c r="H761" s="1"/>
      <c r="I761" s="1"/>
      <c r="J761" s="1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2.75" customHeight="1">
      <c r="A762" s="1"/>
      <c r="B762" s="1"/>
      <c r="C762" s="2"/>
      <c r="D762" s="58"/>
      <c r="E762" s="1"/>
      <c r="F762" s="3"/>
      <c r="G762" s="1"/>
      <c r="H762" s="1"/>
      <c r="I762" s="1"/>
      <c r="J762" s="1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2.75" customHeight="1">
      <c r="A763" s="1"/>
      <c r="B763" s="1"/>
      <c r="C763" s="2"/>
      <c r="D763" s="58"/>
      <c r="E763" s="1"/>
      <c r="F763" s="3"/>
      <c r="G763" s="1"/>
      <c r="H763" s="1"/>
      <c r="I763" s="1"/>
      <c r="J763" s="1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2.75" customHeight="1">
      <c r="A764" s="1"/>
      <c r="B764" s="1"/>
      <c r="C764" s="2"/>
      <c r="D764" s="58"/>
      <c r="E764" s="1"/>
      <c r="F764" s="3"/>
      <c r="G764" s="1"/>
      <c r="H764" s="1"/>
      <c r="I764" s="1"/>
      <c r="J764" s="1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2.75" customHeight="1">
      <c r="A765" s="1"/>
      <c r="B765" s="1"/>
      <c r="C765" s="2"/>
      <c r="D765" s="58"/>
      <c r="E765" s="1"/>
      <c r="F765" s="3"/>
      <c r="G765" s="1"/>
      <c r="H765" s="1"/>
      <c r="I765" s="1"/>
      <c r="J765" s="1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2.75" customHeight="1">
      <c r="A766" s="1"/>
      <c r="B766" s="1"/>
      <c r="C766" s="2"/>
      <c r="D766" s="58"/>
      <c r="E766" s="1"/>
      <c r="F766" s="3"/>
      <c r="G766" s="1"/>
      <c r="H766" s="1"/>
      <c r="I766" s="1"/>
      <c r="J766" s="1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2.75" customHeight="1">
      <c r="A767" s="1"/>
      <c r="B767" s="1"/>
      <c r="C767" s="2"/>
      <c r="D767" s="58"/>
      <c r="E767" s="1"/>
      <c r="F767" s="3"/>
      <c r="G767" s="1"/>
      <c r="H767" s="1"/>
      <c r="I767" s="1"/>
      <c r="J767" s="1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2.75" customHeight="1">
      <c r="A768" s="1"/>
      <c r="B768" s="1"/>
      <c r="C768" s="2"/>
      <c r="D768" s="58"/>
      <c r="E768" s="1"/>
      <c r="F768" s="3"/>
      <c r="G768" s="1"/>
      <c r="H768" s="1"/>
      <c r="I768" s="1"/>
      <c r="J768" s="1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2.75" customHeight="1">
      <c r="A769" s="1"/>
      <c r="B769" s="1"/>
      <c r="C769" s="2"/>
      <c r="D769" s="58"/>
      <c r="E769" s="1"/>
      <c r="F769" s="3"/>
      <c r="G769" s="1"/>
      <c r="H769" s="1"/>
      <c r="I769" s="1"/>
      <c r="J769" s="1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2.75" customHeight="1">
      <c r="A770" s="1"/>
      <c r="B770" s="1"/>
      <c r="C770" s="2"/>
      <c r="D770" s="58"/>
      <c r="E770" s="1"/>
      <c r="F770" s="3"/>
      <c r="G770" s="1"/>
      <c r="H770" s="1"/>
      <c r="I770" s="1"/>
      <c r="J770" s="1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2.75" customHeight="1">
      <c r="A771" s="1"/>
      <c r="B771" s="1"/>
      <c r="C771" s="2"/>
      <c r="D771" s="58"/>
      <c r="E771" s="1"/>
      <c r="F771" s="3"/>
      <c r="G771" s="1"/>
      <c r="H771" s="1"/>
      <c r="I771" s="1"/>
      <c r="J771" s="1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2.75" customHeight="1">
      <c r="A772" s="1"/>
      <c r="B772" s="1"/>
      <c r="C772" s="2"/>
      <c r="D772" s="58"/>
      <c r="E772" s="1"/>
      <c r="F772" s="3"/>
      <c r="G772" s="1"/>
      <c r="H772" s="1"/>
      <c r="I772" s="1"/>
      <c r="J772" s="1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2.75" customHeight="1">
      <c r="A773" s="1"/>
      <c r="B773" s="1"/>
      <c r="C773" s="2"/>
      <c r="D773" s="58"/>
      <c r="E773" s="1"/>
      <c r="F773" s="3"/>
      <c r="G773" s="1"/>
      <c r="H773" s="1"/>
      <c r="I773" s="1"/>
      <c r="J773" s="1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2.75" customHeight="1">
      <c r="A774" s="1"/>
      <c r="B774" s="1"/>
      <c r="C774" s="2"/>
      <c r="D774" s="58"/>
      <c r="E774" s="1"/>
      <c r="F774" s="3"/>
      <c r="G774" s="1"/>
      <c r="H774" s="1"/>
      <c r="I774" s="1"/>
      <c r="J774" s="1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2.75" customHeight="1">
      <c r="A775" s="1"/>
      <c r="B775" s="1"/>
      <c r="C775" s="2"/>
      <c r="D775" s="58"/>
      <c r="E775" s="1"/>
      <c r="F775" s="3"/>
      <c r="G775" s="1"/>
      <c r="H775" s="1"/>
      <c r="I775" s="1"/>
      <c r="J775" s="1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2.75" customHeight="1">
      <c r="A776" s="1"/>
      <c r="B776" s="1"/>
      <c r="C776" s="2"/>
      <c r="D776" s="58"/>
      <c r="E776" s="1"/>
      <c r="F776" s="3"/>
      <c r="G776" s="1"/>
      <c r="H776" s="1"/>
      <c r="I776" s="1"/>
      <c r="J776" s="1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2.75" customHeight="1">
      <c r="A777" s="1"/>
      <c r="B777" s="1"/>
      <c r="C777" s="2"/>
      <c r="D777" s="58"/>
      <c r="E777" s="1"/>
      <c r="F777" s="3"/>
      <c r="G777" s="1"/>
      <c r="H777" s="1"/>
      <c r="I777" s="1"/>
      <c r="J777" s="1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2.75" customHeight="1">
      <c r="A778" s="1"/>
      <c r="B778" s="1"/>
      <c r="C778" s="2"/>
      <c r="D778" s="58"/>
      <c r="E778" s="1"/>
      <c r="F778" s="3"/>
      <c r="G778" s="1"/>
      <c r="H778" s="1"/>
      <c r="I778" s="1"/>
      <c r="J778" s="1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2.75" customHeight="1">
      <c r="A779" s="1"/>
      <c r="B779" s="1"/>
      <c r="C779" s="2"/>
      <c r="D779" s="58"/>
      <c r="E779" s="1"/>
      <c r="F779" s="3"/>
      <c r="G779" s="1"/>
      <c r="H779" s="1"/>
      <c r="I779" s="1"/>
      <c r="J779" s="1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2.75" customHeight="1">
      <c r="A780" s="1"/>
      <c r="B780" s="1"/>
      <c r="C780" s="2"/>
      <c r="D780" s="58"/>
      <c r="E780" s="1"/>
      <c r="F780" s="3"/>
      <c r="G780" s="1"/>
      <c r="H780" s="1"/>
      <c r="I780" s="1"/>
      <c r="J780" s="1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2.75" customHeight="1">
      <c r="A781" s="1"/>
      <c r="B781" s="1"/>
      <c r="C781" s="2"/>
      <c r="D781" s="58"/>
      <c r="E781" s="1"/>
      <c r="F781" s="3"/>
      <c r="G781" s="1"/>
      <c r="H781" s="1"/>
      <c r="I781" s="1"/>
      <c r="J781" s="1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2.75" customHeight="1">
      <c r="A782" s="1"/>
      <c r="B782" s="1"/>
      <c r="C782" s="2"/>
      <c r="D782" s="58"/>
      <c r="E782" s="1"/>
      <c r="F782" s="3"/>
      <c r="G782" s="1"/>
      <c r="H782" s="1"/>
      <c r="I782" s="1"/>
      <c r="J782" s="1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2.75" customHeight="1">
      <c r="A783" s="1"/>
      <c r="B783" s="1"/>
      <c r="C783" s="2"/>
      <c r="D783" s="58"/>
      <c r="E783" s="1"/>
      <c r="F783" s="3"/>
      <c r="G783" s="1"/>
      <c r="H783" s="1"/>
      <c r="I783" s="1"/>
      <c r="J783" s="1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2.75" customHeight="1">
      <c r="A784" s="1"/>
      <c r="B784" s="1"/>
      <c r="C784" s="2"/>
      <c r="D784" s="58"/>
      <c r="E784" s="1"/>
      <c r="F784" s="3"/>
      <c r="G784" s="1"/>
      <c r="H784" s="1"/>
      <c r="I784" s="1"/>
      <c r="J784" s="1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2.75" customHeight="1">
      <c r="A785" s="1"/>
      <c r="B785" s="1"/>
      <c r="C785" s="2"/>
      <c r="D785" s="58"/>
      <c r="E785" s="1"/>
      <c r="F785" s="3"/>
      <c r="G785" s="1"/>
      <c r="H785" s="1"/>
      <c r="I785" s="1"/>
      <c r="J785" s="1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2.75" customHeight="1">
      <c r="A786" s="1"/>
      <c r="B786" s="1"/>
      <c r="C786" s="2"/>
      <c r="D786" s="58"/>
      <c r="E786" s="1"/>
      <c r="F786" s="3"/>
      <c r="G786" s="1"/>
      <c r="H786" s="1"/>
      <c r="I786" s="1"/>
      <c r="J786" s="1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2.75" customHeight="1">
      <c r="A787" s="1"/>
      <c r="B787" s="1"/>
      <c r="C787" s="2"/>
      <c r="D787" s="58"/>
      <c r="E787" s="1"/>
      <c r="F787" s="3"/>
      <c r="G787" s="1"/>
      <c r="H787" s="1"/>
      <c r="I787" s="1"/>
      <c r="J787" s="1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2.75" customHeight="1">
      <c r="A788" s="1"/>
      <c r="B788" s="1"/>
      <c r="C788" s="2"/>
      <c r="D788" s="58"/>
      <c r="E788" s="1"/>
      <c r="F788" s="3"/>
      <c r="G788" s="1"/>
      <c r="H788" s="1"/>
      <c r="I788" s="1"/>
      <c r="J788" s="1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2.75" customHeight="1">
      <c r="A789" s="1"/>
      <c r="B789" s="1"/>
      <c r="C789" s="2"/>
      <c r="D789" s="58"/>
      <c r="E789" s="1"/>
      <c r="F789" s="3"/>
      <c r="G789" s="1"/>
      <c r="H789" s="1"/>
      <c r="I789" s="1"/>
      <c r="J789" s="1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2.75" customHeight="1">
      <c r="A790" s="1"/>
      <c r="B790" s="1"/>
      <c r="C790" s="2"/>
      <c r="D790" s="58"/>
      <c r="E790" s="1"/>
      <c r="F790" s="3"/>
      <c r="G790" s="1"/>
      <c r="H790" s="1"/>
      <c r="I790" s="1"/>
      <c r="J790" s="1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2.75" customHeight="1">
      <c r="A791" s="1"/>
      <c r="B791" s="1"/>
      <c r="C791" s="2"/>
      <c r="D791" s="58"/>
      <c r="E791" s="1"/>
      <c r="F791" s="3"/>
      <c r="G791" s="1"/>
      <c r="H791" s="1"/>
      <c r="I791" s="1"/>
      <c r="J791" s="1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2.75" customHeight="1">
      <c r="A792" s="1"/>
      <c r="B792" s="1"/>
      <c r="C792" s="2"/>
      <c r="D792" s="58"/>
      <c r="E792" s="1"/>
      <c r="F792" s="3"/>
      <c r="G792" s="1"/>
      <c r="H792" s="1"/>
      <c r="I792" s="1"/>
      <c r="J792" s="1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2.75" customHeight="1">
      <c r="A793" s="1"/>
      <c r="B793" s="1"/>
      <c r="C793" s="2"/>
      <c r="D793" s="58"/>
      <c r="E793" s="1"/>
      <c r="F793" s="3"/>
      <c r="G793" s="1"/>
      <c r="H793" s="1"/>
      <c r="I793" s="1"/>
      <c r="J793" s="1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2.75" customHeight="1">
      <c r="A794" s="1"/>
      <c r="B794" s="1"/>
      <c r="C794" s="2"/>
      <c r="D794" s="58"/>
      <c r="E794" s="1"/>
      <c r="F794" s="3"/>
      <c r="G794" s="1"/>
      <c r="H794" s="1"/>
      <c r="I794" s="1"/>
      <c r="J794" s="1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2.75" customHeight="1">
      <c r="A795" s="1"/>
      <c r="B795" s="1"/>
      <c r="C795" s="2"/>
      <c r="D795" s="58"/>
      <c r="E795" s="1"/>
      <c r="F795" s="3"/>
      <c r="G795" s="1"/>
      <c r="H795" s="1"/>
      <c r="I795" s="1"/>
      <c r="J795" s="1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2.75" customHeight="1">
      <c r="A796" s="1"/>
      <c r="B796" s="1"/>
      <c r="C796" s="2"/>
      <c r="D796" s="58"/>
      <c r="E796" s="1"/>
      <c r="F796" s="3"/>
      <c r="G796" s="1"/>
      <c r="H796" s="1"/>
      <c r="I796" s="1"/>
      <c r="J796" s="1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2.75" customHeight="1">
      <c r="A797" s="1"/>
      <c r="B797" s="1"/>
      <c r="C797" s="2"/>
      <c r="D797" s="58"/>
      <c r="E797" s="1"/>
      <c r="F797" s="3"/>
      <c r="G797" s="1"/>
      <c r="H797" s="1"/>
      <c r="I797" s="1"/>
      <c r="J797" s="1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2.75" customHeight="1">
      <c r="A798" s="1"/>
      <c r="B798" s="1"/>
      <c r="C798" s="2"/>
      <c r="D798" s="58"/>
      <c r="E798" s="1"/>
      <c r="F798" s="3"/>
      <c r="G798" s="1"/>
      <c r="H798" s="1"/>
      <c r="I798" s="1"/>
      <c r="J798" s="1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2.75" customHeight="1">
      <c r="A799" s="1"/>
      <c r="B799" s="1"/>
      <c r="C799" s="2"/>
      <c r="D799" s="58"/>
      <c r="E799" s="1"/>
      <c r="F799" s="3"/>
      <c r="G799" s="1"/>
      <c r="H799" s="1"/>
      <c r="I799" s="1"/>
      <c r="J799" s="1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2.75" customHeight="1">
      <c r="A800" s="1"/>
      <c r="B800" s="1"/>
      <c r="C800" s="2"/>
      <c r="D800" s="58"/>
      <c r="E800" s="1"/>
      <c r="F800" s="3"/>
      <c r="G800" s="1"/>
      <c r="H800" s="1"/>
      <c r="I800" s="1"/>
      <c r="J800" s="1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2.75" customHeight="1">
      <c r="A801" s="1"/>
      <c r="B801" s="1"/>
      <c r="C801" s="2"/>
      <c r="D801" s="58"/>
      <c r="E801" s="1"/>
      <c r="F801" s="3"/>
      <c r="G801" s="1"/>
      <c r="H801" s="1"/>
      <c r="I801" s="1"/>
      <c r="J801" s="1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2.75" customHeight="1">
      <c r="A802" s="1"/>
      <c r="B802" s="1"/>
      <c r="C802" s="2"/>
      <c r="D802" s="58"/>
      <c r="E802" s="1"/>
      <c r="F802" s="3"/>
      <c r="G802" s="1"/>
      <c r="H802" s="1"/>
      <c r="I802" s="1"/>
      <c r="J802" s="1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2.75" customHeight="1">
      <c r="A803" s="1"/>
      <c r="B803" s="1"/>
      <c r="C803" s="2"/>
      <c r="D803" s="58"/>
      <c r="E803" s="1"/>
      <c r="F803" s="3"/>
      <c r="G803" s="1"/>
      <c r="H803" s="1"/>
      <c r="I803" s="1"/>
      <c r="J803" s="1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2.75" customHeight="1">
      <c r="A804" s="1"/>
      <c r="B804" s="1"/>
      <c r="C804" s="2"/>
      <c r="D804" s="58"/>
      <c r="E804" s="1"/>
      <c r="F804" s="3"/>
      <c r="G804" s="1"/>
      <c r="H804" s="1"/>
      <c r="I804" s="1"/>
      <c r="J804" s="1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2.75" customHeight="1">
      <c r="A805" s="1"/>
      <c r="B805" s="1"/>
      <c r="C805" s="2"/>
      <c r="D805" s="58"/>
      <c r="E805" s="1"/>
      <c r="F805" s="3"/>
      <c r="G805" s="1"/>
      <c r="H805" s="1"/>
      <c r="I805" s="1"/>
      <c r="J805" s="1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2.75" customHeight="1">
      <c r="A806" s="1"/>
      <c r="B806" s="1"/>
      <c r="C806" s="2"/>
      <c r="D806" s="58"/>
      <c r="E806" s="1"/>
      <c r="F806" s="3"/>
      <c r="G806" s="1"/>
      <c r="H806" s="1"/>
      <c r="I806" s="1"/>
      <c r="J806" s="1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2.75" customHeight="1">
      <c r="A807" s="1"/>
      <c r="B807" s="1"/>
      <c r="C807" s="2"/>
      <c r="D807" s="58"/>
      <c r="E807" s="1"/>
      <c r="F807" s="3"/>
      <c r="G807" s="1"/>
      <c r="H807" s="1"/>
      <c r="I807" s="1"/>
      <c r="J807" s="1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2.75" customHeight="1">
      <c r="A808" s="1"/>
      <c r="B808" s="1"/>
      <c r="C808" s="2"/>
      <c r="D808" s="58"/>
      <c r="E808" s="1"/>
      <c r="F808" s="3"/>
      <c r="G808" s="1"/>
      <c r="H808" s="1"/>
      <c r="I808" s="1"/>
      <c r="J808" s="1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2.75" customHeight="1">
      <c r="A809" s="1"/>
      <c r="B809" s="1"/>
      <c r="C809" s="2"/>
      <c r="D809" s="58"/>
      <c r="E809" s="1"/>
      <c r="F809" s="3"/>
      <c r="G809" s="1"/>
      <c r="H809" s="1"/>
      <c r="I809" s="1"/>
      <c r="J809" s="1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2.75" customHeight="1">
      <c r="A810" s="1"/>
      <c r="B810" s="1"/>
      <c r="C810" s="2"/>
      <c r="D810" s="58"/>
      <c r="E810" s="1"/>
      <c r="F810" s="3"/>
      <c r="G810" s="1"/>
      <c r="H810" s="1"/>
      <c r="I810" s="1"/>
      <c r="J810" s="1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2.75" customHeight="1">
      <c r="A811" s="1"/>
      <c r="B811" s="1"/>
      <c r="C811" s="2"/>
      <c r="D811" s="58"/>
      <c r="E811" s="1"/>
      <c r="F811" s="3"/>
      <c r="G811" s="1"/>
      <c r="H811" s="1"/>
      <c r="I811" s="1"/>
      <c r="J811" s="1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2.75" customHeight="1">
      <c r="A812" s="1"/>
      <c r="B812" s="1"/>
      <c r="C812" s="2"/>
      <c r="D812" s="58"/>
      <c r="E812" s="1"/>
      <c r="F812" s="3"/>
      <c r="G812" s="1"/>
      <c r="H812" s="1"/>
      <c r="I812" s="1"/>
      <c r="J812" s="1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2.75" customHeight="1">
      <c r="A813" s="1"/>
      <c r="B813" s="1"/>
      <c r="C813" s="2"/>
      <c r="D813" s="58"/>
      <c r="E813" s="1"/>
      <c r="F813" s="3"/>
      <c r="G813" s="1"/>
      <c r="H813" s="1"/>
      <c r="I813" s="1"/>
      <c r="J813" s="1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2.75" customHeight="1">
      <c r="A814" s="1"/>
      <c r="B814" s="1"/>
      <c r="C814" s="2"/>
      <c r="D814" s="58"/>
      <c r="E814" s="1"/>
      <c r="F814" s="3"/>
      <c r="G814" s="1"/>
      <c r="H814" s="1"/>
      <c r="I814" s="1"/>
      <c r="J814" s="1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2.75" customHeight="1">
      <c r="A815" s="1"/>
      <c r="B815" s="1"/>
      <c r="C815" s="2"/>
      <c r="D815" s="58"/>
      <c r="E815" s="1"/>
      <c r="F815" s="3"/>
      <c r="G815" s="1"/>
      <c r="H815" s="1"/>
      <c r="I815" s="1"/>
      <c r="J815" s="1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2.75" customHeight="1">
      <c r="A816" s="1"/>
      <c r="B816" s="1"/>
      <c r="C816" s="2"/>
      <c r="D816" s="58"/>
      <c r="E816" s="1"/>
      <c r="F816" s="3"/>
      <c r="G816" s="1"/>
      <c r="H816" s="1"/>
      <c r="I816" s="1"/>
      <c r="J816" s="1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2.75" customHeight="1">
      <c r="A817" s="1"/>
      <c r="B817" s="1"/>
      <c r="C817" s="2"/>
      <c r="D817" s="58"/>
      <c r="E817" s="1"/>
      <c r="F817" s="3"/>
      <c r="G817" s="1"/>
      <c r="H817" s="1"/>
      <c r="I817" s="1"/>
      <c r="J817" s="1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2.75" customHeight="1">
      <c r="A818" s="1"/>
      <c r="B818" s="1"/>
      <c r="C818" s="2"/>
      <c r="D818" s="58"/>
      <c r="E818" s="1"/>
      <c r="F818" s="3"/>
      <c r="G818" s="1"/>
      <c r="H818" s="1"/>
      <c r="I818" s="1"/>
      <c r="J818" s="1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2.75" customHeight="1">
      <c r="A819" s="1"/>
      <c r="B819" s="1"/>
      <c r="C819" s="2"/>
      <c r="D819" s="58"/>
      <c r="E819" s="1"/>
      <c r="F819" s="3"/>
      <c r="G819" s="1"/>
      <c r="H819" s="1"/>
      <c r="I819" s="1"/>
      <c r="J819" s="1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2.75" customHeight="1">
      <c r="A820" s="1"/>
      <c r="B820" s="1"/>
      <c r="C820" s="2"/>
      <c r="D820" s="58"/>
      <c r="E820" s="1"/>
      <c r="F820" s="3"/>
      <c r="G820" s="1"/>
      <c r="H820" s="1"/>
      <c r="I820" s="1"/>
      <c r="J820" s="1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2.75" customHeight="1">
      <c r="A821" s="1"/>
      <c r="B821" s="1"/>
      <c r="C821" s="2"/>
      <c r="D821" s="58"/>
      <c r="E821" s="1"/>
      <c r="F821" s="3"/>
      <c r="G821" s="1"/>
      <c r="H821" s="1"/>
      <c r="I821" s="1"/>
      <c r="J821" s="1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2.75" customHeight="1">
      <c r="A822" s="1"/>
      <c r="B822" s="1"/>
      <c r="C822" s="2"/>
      <c r="D822" s="58"/>
      <c r="E822" s="1"/>
      <c r="F822" s="3"/>
      <c r="G822" s="1"/>
      <c r="H822" s="1"/>
      <c r="I822" s="1"/>
      <c r="J822" s="1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2.75" customHeight="1">
      <c r="A823" s="1"/>
      <c r="B823" s="1"/>
      <c r="C823" s="2"/>
      <c r="D823" s="58"/>
      <c r="E823" s="1"/>
      <c r="F823" s="3"/>
      <c r="G823" s="1"/>
      <c r="H823" s="1"/>
      <c r="I823" s="1"/>
      <c r="J823" s="1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2.75" customHeight="1">
      <c r="A824" s="1"/>
      <c r="B824" s="1"/>
      <c r="C824" s="2"/>
      <c r="D824" s="58"/>
      <c r="E824" s="1"/>
      <c r="F824" s="3"/>
      <c r="G824" s="1"/>
      <c r="H824" s="1"/>
      <c r="I824" s="1"/>
      <c r="J824" s="1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2.75" customHeight="1">
      <c r="A825" s="1"/>
      <c r="B825" s="1"/>
      <c r="C825" s="2"/>
      <c r="D825" s="58"/>
      <c r="E825" s="1"/>
      <c r="F825" s="3"/>
      <c r="G825" s="1"/>
      <c r="H825" s="1"/>
      <c r="I825" s="1"/>
      <c r="J825" s="1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2.75" customHeight="1">
      <c r="A826" s="1"/>
      <c r="B826" s="1"/>
      <c r="C826" s="2"/>
      <c r="D826" s="58"/>
      <c r="E826" s="1"/>
      <c r="F826" s="3"/>
      <c r="G826" s="1"/>
      <c r="H826" s="1"/>
      <c r="I826" s="1"/>
      <c r="J826" s="1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2.75" customHeight="1">
      <c r="A827" s="1"/>
      <c r="B827" s="1"/>
      <c r="C827" s="2"/>
      <c r="D827" s="58"/>
      <c r="E827" s="1"/>
      <c r="F827" s="3"/>
      <c r="G827" s="1"/>
      <c r="H827" s="1"/>
      <c r="I827" s="1"/>
      <c r="J827" s="1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2.75" customHeight="1">
      <c r="A828" s="1"/>
      <c r="B828" s="1"/>
      <c r="C828" s="2"/>
      <c r="D828" s="58"/>
      <c r="E828" s="1"/>
      <c r="F828" s="3"/>
      <c r="G828" s="1"/>
      <c r="H828" s="1"/>
      <c r="I828" s="1"/>
      <c r="J828" s="1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2.75" customHeight="1">
      <c r="A829" s="1"/>
      <c r="B829" s="1"/>
      <c r="C829" s="2"/>
      <c r="D829" s="58"/>
      <c r="E829" s="1"/>
      <c r="F829" s="3"/>
      <c r="G829" s="1"/>
      <c r="H829" s="1"/>
      <c r="I829" s="1"/>
      <c r="J829" s="1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2.75" customHeight="1">
      <c r="A830" s="1"/>
      <c r="B830" s="1"/>
      <c r="C830" s="2"/>
      <c r="D830" s="58"/>
      <c r="E830" s="1"/>
      <c r="F830" s="3"/>
      <c r="G830" s="1"/>
      <c r="H830" s="1"/>
      <c r="I830" s="1"/>
      <c r="J830" s="1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2.75" customHeight="1">
      <c r="A831" s="1"/>
      <c r="B831" s="1"/>
      <c r="C831" s="2"/>
      <c r="D831" s="58"/>
      <c r="E831" s="1"/>
      <c r="F831" s="3"/>
      <c r="G831" s="1"/>
      <c r="H831" s="1"/>
      <c r="I831" s="1"/>
      <c r="J831" s="1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2.75" customHeight="1">
      <c r="A832" s="1"/>
      <c r="B832" s="1"/>
      <c r="C832" s="2"/>
      <c r="D832" s="58"/>
      <c r="E832" s="1"/>
      <c r="F832" s="3"/>
      <c r="G832" s="1"/>
      <c r="H832" s="1"/>
      <c r="I832" s="1"/>
      <c r="J832" s="1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2.75" customHeight="1">
      <c r="A833" s="1"/>
      <c r="B833" s="1"/>
      <c r="C833" s="2"/>
      <c r="D833" s="58"/>
      <c r="E833" s="1"/>
      <c r="F833" s="3"/>
      <c r="G833" s="1"/>
      <c r="H833" s="1"/>
      <c r="I833" s="1"/>
      <c r="J833" s="1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2.75" customHeight="1">
      <c r="A834" s="1"/>
      <c r="B834" s="1"/>
      <c r="C834" s="2"/>
      <c r="D834" s="58"/>
      <c r="E834" s="1"/>
      <c r="F834" s="3"/>
      <c r="G834" s="1"/>
      <c r="H834" s="1"/>
      <c r="I834" s="1"/>
      <c r="J834" s="1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2.75" customHeight="1">
      <c r="A835" s="1"/>
      <c r="B835" s="1"/>
      <c r="C835" s="2"/>
      <c r="D835" s="58"/>
      <c r="E835" s="1"/>
      <c r="F835" s="3"/>
      <c r="G835" s="1"/>
      <c r="H835" s="1"/>
      <c r="I835" s="1"/>
      <c r="J835" s="1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2.75" customHeight="1">
      <c r="A836" s="1"/>
      <c r="B836" s="1"/>
      <c r="C836" s="2"/>
      <c r="D836" s="58"/>
      <c r="E836" s="1"/>
      <c r="F836" s="3"/>
      <c r="G836" s="1"/>
      <c r="H836" s="1"/>
      <c r="I836" s="1"/>
      <c r="J836" s="1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2.75" customHeight="1">
      <c r="A837" s="1"/>
      <c r="B837" s="1"/>
      <c r="C837" s="2"/>
      <c r="D837" s="58"/>
      <c r="E837" s="1"/>
      <c r="F837" s="3"/>
      <c r="G837" s="1"/>
      <c r="H837" s="1"/>
      <c r="I837" s="1"/>
      <c r="J837" s="1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2.75" customHeight="1">
      <c r="A838" s="1"/>
      <c r="B838" s="1"/>
      <c r="C838" s="2"/>
      <c r="D838" s="58"/>
      <c r="E838" s="1"/>
      <c r="F838" s="3"/>
      <c r="G838" s="1"/>
      <c r="H838" s="1"/>
      <c r="I838" s="1"/>
      <c r="J838" s="1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2.75" customHeight="1">
      <c r="A839" s="1"/>
      <c r="B839" s="1"/>
      <c r="C839" s="2"/>
      <c r="D839" s="58"/>
      <c r="E839" s="1"/>
      <c r="F839" s="3"/>
      <c r="G839" s="1"/>
      <c r="H839" s="1"/>
      <c r="I839" s="1"/>
      <c r="J839" s="1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2.75" customHeight="1">
      <c r="A840" s="1"/>
      <c r="B840" s="1"/>
      <c r="C840" s="2"/>
      <c r="D840" s="58"/>
      <c r="E840" s="1"/>
      <c r="F840" s="3"/>
      <c r="G840" s="1"/>
      <c r="H840" s="1"/>
      <c r="I840" s="1"/>
      <c r="J840" s="1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2.75" customHeight="1">
      <c r="A841" s="1"/>
      <c r="B841" s="1"/>
      <c r="C841" s="2"/>
      <c r="D841" s="58"/>
      <c r="E841" s="1"/>
      <c r="F841" s="3"/>
      <c r="G841" s="1"/>
      <c r="H841" s="1"/>
      <c r="I841" s="1"/>
      <c r="J841" s="1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2.75" customHeight="1">
      <c r="A842" s="1"/>
      <c r="B842" s="1"/>
      <c r="C842" s="2"/>
      <c r="D842" s="58"/>
      <c r="E842" s="1"/>
      <c r="F842" s="3"/>
      <c r="G842" s="1"/>
      <c r="H842" s="1"/>
      <c r="I842" s="1"/>
      <c r="J842" s="1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2.75" customHeight="1">
      <c r="A843" s="1"/>
      <c r="B843" s="1"/>
      <c r="C843" s="2"/>
      <c r="D843" s="58"/>
      <c r="E843" s="1"/>
      <c r="F843" s="3"/>
      <c r="G843" s="1"/>
      <c r="H843" s="1"/>
      <c r="I843" s="1"/>
      <c r="J843" s="1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2.75" customHeight="1">
      <c r="A844" s="1"/>
      <c r="B844" s="1"/>
      <c r="C844" s="2"/>
      <c r="D844" s="58"/>
      <c r="E844" s="1"/>
      <c r="F844" s="3"/>
      <c r="G844" s="1"/>
      <c r="H844" s="1"/>
      <c r="I844" s="1"/>
      <c r="J844" s="1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2.75" customHeight="1">
      <c r="A845" s="1"/>
      <c r="B845" s="1"/>
      <c r="C845" s="2"/>
      <c r="D845" s="58"/>
      <c r="E845" s="1"/>
      <c r="F845" s="3"/>
      <c r="G845" s="1"/>
      <c r="H845" s="1"/>
      <c r="I845" s="1"/>
      <c r="J845" s="1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2.75" customHeight="1">
      <c r="A846" s="1"/>
      <c r="B846" s="1"/>
      <c r="C846" s="2"/>
      <c r="D846" s="58"/>
      <c r="E846" s="1"/>
      <c r="F846" s="3"/>
      <c r="G846" s="1"/>
      <c r="H846" s="1"/>
      <c r="I846" s="1"/>
      <c r="J846" s="1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2.75" customHeight="1">
      <c r="A847" s="1"/>
      <c r="B847" s="1"/>
      <c r="C847" s="2"/>
      <c r="D847" s="58"/>
      <c r="E847" s="1"/>
      <c r="F847" s="3"/>
      <c r="G847" s="1"/>
      <c r="H847" s="1"/>
      <c r="I847" s="1"/>
      <c r="J847" s="1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2.75" customHeight="1">
      <c r="A848" s="1"/>
      <c r="B848" s="1"/>
      <c r="C848" s="2"/>
      <c r="D848" s="58"/>
      <c r="E848" s="1"/>
      <c r="F848" s="3"/>
      <c r="G848" s="1"/>
      <c r="H848" s="1"/>
      <c r="I848" s="1"/>
      <c r="J848" s="1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2.75" customHeight="1">
      <c r="A849" s="1"/>
      <c r="B849" s="1"/>
      <c r="C849" s="2"/>
      <c r="D849" s="58"/>
      <c r="E849" s="1"/>
      <c r="F849" s="3"/>
      <c r="G849" s="1"/>
      <c r="H849" s="1"/>
      <c r="I849" s="1"/>
      <c r="J849" s="1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2.75" customHeight="1">
      <c r="A850" s="1"/>
      <c r="B850" s="1"/>
      <c r="C850" s="2"/>
      <c r="D850" s="58"/>
      <c r="E850" s="1"/>
      <c r="F850" s="3"/>
      <c r="G850" s="1"/>
      <c r="H850" s="1"/>
      <c r="I850" s="1"/>
      <c r="J850" s="1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2.75" customHeight="1">
      <c r="A851" s="1"/>
      <c r="B851" s="1"/>
      <c r="C851" s="2"/>
      <c r="D851" s="58"/>
      <c r="E851" s="1"/>
      <c r="F851" s="3"/>
      <c r="G851" s="1"/>
      <c r="H851" s="1"/>
      <c r="I851" s="1"/>
      <c r="J851" s="1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2.75" customHeight="1">
      <c r="A852" s="1"/>
      <c r="B852" s="1"/>
      <c r="C852" s="2"/>
      <c r="D852" s="58"/>
      <c r="E852" s="1"/>
      <c r="F852" s="3"/>
      <c r="G852" s="1"/>
      <c r="H852" s="1"/>
      <c r="I852" s="1"/>
      <c r="J852" s="1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2.75" customHeight="1">
      <c r="A853" s="1"/>
      <c r="B853" s="1"/>
      <c r="C853" s="2"/>
      <c r="D853" s="58"/>
      <c r="E853" s="1"/>
      <c r="F853" s="3"/>
      <c r="G853" s="1"/>
      <c r="H853" s="1"/>
      <c r="I853" s="1"/>
      <c r="J853" s="1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2.75" customHeight="1">
      <c r="A854" s="1"/>
      <c r="B854" s="1"/>
      <c r="C854" s="2"/>
      <c r="D854" s="58"/>
      <c r="E854" s="1"/>
      <c r="F854" s="3"/>
      <c r="G854" s="1"/>
      <c r="H854" s="1"/>
      <c r="I854" s="1"/>
      <c r="J854" s="1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2.75" customHeight="1">
      <c r="A855" s="1"/>
      <c r="B855" s="1"/>
      <c r="C855" s="2"/>
      <c r="D855" s="58"/>
      <c r="E855" s="1"/>
      <c r="F855" s="3"/>
      <c r="G855" s="1"/>
      <c r="H855" s="1"/>
      <c r="I855" s="1"/>
      <c r="J855" s="1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2.75" customHeight="1">
      <c r="A856" s="1"/>
      <c r="B856" s="1"/>
      <c r="C856" s="2"/>
      <c r="D856" s="58"/>
      <c r="E856" s="1"/>
      <c r="F856" s="3"/>
      <c r="G856" s="1"/>
      <c r="H856" s="1"/>
      <c r="I856" s="1"/>
      <c r="J856" s="1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2.75" customHeight="1">
      <c r="A857" s="1"/>
      <c r="B857" s="1"/>
      <c r="C857" s="2"/>
      <c r="D857" s="58"/>
      <c r="E857" s="1"/>
      <c r="F857" s="3"/>
      <c r="G857" s="1"/>
      <c r="H857" s="1"/>
      <c r="I857" s="1"/>
      <c r="J857" s="1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2.75" customHeight="1">
      <c r="A858" s="1"/>
      <c r="B858" s="1"/>
      <c r="C858" s="2"/>
      <c r="D858" s="58"/>
      <c r="E858" s="1"/>
      <c r="F858" s="3"/>
      <c r="G858" s="1"/>
      <c r="H858" s="1"/>
      <c r="I858" s="1"/>
      <c r="J858" s="1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2.75" customHeight="1">
      <c r="A859" s="1"/>
      <c r="B859" s="1"/>
      <c r="C859" s="2"/>
      <c r="D859" s="58"/>
      <c r="E859" s="1"/>
      <c r="F859" s="3"/>
      <c r="G859" s="1"/>
      <c r="H859" s="1"/>
      <c r="I859" s="1"/>
      <c r="J859" s="1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2.75" customHeight="1">
      <c r="A860" s="1"/>
      <c r="B860" s="1"/>
      <c r="C860" s="2"/>
      <c r="D860" s="58"/>
      <c r="E860" s="1"/>
      <c r="F860" s="3"/>
      <c r="G860" s="1"/>
      <c r="H860" s="1"/>
      <c r="I860" s="1"/>
      <c r="J860" s="1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2.75" customHeight="1">
      <c r="A861" s="1"/>
      <c r="B861" s="1"/>
      <c r="C861" s="2"/>
      <c r="D861" s="58"/>
      <c r="E861" s="1"/>
      <c r="F861" s="3"/>
      <c r="G861" s="1"/>
      <c r="H861" s="1"/>
      <c r="I861" s="1"/>
      <c r="J861" s="1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2.75" customHeight="1">
      <c r="A862" s="1"/>
      <c r="B862" s="1"/>
      <c r="C862" s="2"/>
      <c r="D862" s="58"/>
      <c r="E862" s="1"/>
      <c r="F862" s="3"/>
      <c r="G862" s="1"/>
      <c r="H862" s="1"/>
      <c r="I862" s="1"/>
      <c r="J862" s="1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2.75" customHeight="1">
      <c r="A863" s="1"/>
      <c r="B863" s="1"/>
      <c r="C863" s="2"/>
      <c r="D863" s="58"/>
      <c r="E863" s="1"/>
      <c r="F863" s="3"/>
      <c r="G863" s="1"/>
      <c r="H863" s="1"/>
      <c r="I863" s="1"/>
      <c r="J863" s="1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2.75" customHeight="1">
      <c r="A864" s="1"/>
      <c r="B864" s="1"/>
      <c r="C864" s="2"/>
      <c r="D864" s="58"/>
      <c r="E864" s="1"/>
      <c r="F864" s="3"/>
      <c r="G864" s="1"/>
      <c r="H864" s="1"/>
      <c r="I864" s="1"/>
      <c r="J864" s="1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2.75" customHeight="1">
      <c r="A865" s="1"/>
      <c r="B865" s="1"/>
      <c r="C865" s="2"/>
      <c r="D865" s="58"/>
      <c r="E865" s="1"/>
      <c r="F865" s="3"/>
      <c r="G865" s="1"/>
      <c r="H865" s="1"/>
      <c r="I865" s="1"/>
      <c r="J865" s="1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2.75" customHeight="1">
      <c r="A866" s="1"/>
      <c r="B866" s="1"/>
      <c r="C866" s="2"/>
      <c r="D866" s="58"/>
      <c r="E866" s="1"/>
      <c r="F866" s="3"/>
      <c r="G866" s="1"/>
      <c r="H866" s="1"/>
      <c r="I866" s="1"/>
      <c r="J866" s="1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2.75" customHeight="1">
      <c r="A867" s="1"/>
      <c r="B867" s="1"/>
      <c r="C867" s="2"/>
      <c r="D867" s="58"/>
      <c r="E867" s="1"/>
      <c r="F867" s="3"/>
      <c r="G867" s="1"/>
      <c r="H867" s="1"/>
      <c r="I867" s="1"/>
      <c r="J867" s="1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2.75" customHeight="1">
      <c r="A868" s="1"/>
      <c r="B868" s="1"/>
      <c r="C868" s="2"/>
      <c r="D868" s="58"/>
      <c r="E868" s="1"/>
      <c r="F868" s="3"/>
      <c r="G868" s="1"/>
      <c r="H868" s="1"/>
      <c r="I868" s="1"/>
      <c r="J868" s="1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2.75" customHeight="1">
      <c r="A869" s="1"/>
      <c r="B869" s="1"/>
      <c r="C869" s="2"/>
      <c r="D869" s="58"/>
      <c r="E869" s="1"/>
      <c r="F869" s="3"/>
      <c r="G869" s="1"/>
      <c r="H869" s="1"/>
      <c r="I869" s="1"/>
      <c r="J869" s="1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2.75" customHeight="1">
      <c r="A870" s="1"/>
      <c r="B870" s="1"/>
      <c r="C870" s="2"/>
      <c r="D870" s="58"/>
      <c r="E870" s="1"/>
      <c r="F870" s="3"/>
      <c r="G870" s="1"/>
      <c r="H870" s="1"/>
      <c r="I870" s="1"/>
      <c r="J870" s="1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2.75" customHeight="1">
      <c r="A871" s="1"/>
      <c r="B871" s="1"/>
      <c r="C871" s="2"/>
      <c r="D871" s="58"/>
      <c r="E871" s="1"/>
      <c r="F871" s="3"/>
      <c r="G871" s="1"/>
      <c r="H871" s="1"/>
      <c r="I871" s="1"/>
      <c r="J871" s="1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2.75" customHeight="1">
      <c r="A872" s="1"/>
      <c r="B872" s="1"/>
      <c r="C872" s="2"/>
      <c r="D872" s="58"/>
      <c r="E872" s="1"/>
      <c r="F872" s="3"/>
      <c r="G872" s="1"/>
      <c r="H872" s="1"/>
      <c r="I872" s="1"/>
      <c r="J872" s="1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2.75" customHeight="1">
      <c r="A873" s="1"/>
      <c r="B873" s="1"/>
      <c r="C873" s="2"/>
      <c r="D873" s="58"/>
      <c r="E873" s="1"/>
      <c r="F873" s="3"/>
      <c r="G873" s="1"/>
      <c r="H873" s="1"/>
      <c r="I873" s="1"/>
      <c r="J873" s="1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2.75" customHeight="1">
      <c r="A874" s="1"/>
      <c r="B874" s="1"/>
      <c r="C874" s="2"/>
      <c r="D874" s="58"/>
      <c r="E874" s="1"/>
      <c r="F874" s="3"/>
      <c r="G874" s="1"/>
      <c r="H874" s="1"/>
      <c r="I874" s="1"/>
      <c r="J874" s="1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2.75" customHeight="1">
      <c r="A875" s="1"/>
      <c r="B875" s="1"/>
      <c r="C875" s="2"/>
      <c r="D875" s="58"/>
      <c r="E875" s="1"/>
      <c r="F875" s="3"/>
      <c r="G875" s="1"/>
      <c r="H875" s="1"/>
      <c r="I875" s="1"/>
      <c r="J875" s="1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2.75" customHeight="1">
      <c r="A876" s="1"/>
      <c r="B876" s="1"/>
      <c r="C876" s="2"/>
      <c r="D876" s="58"/>
      <c r="E876" s="1"/>
      <c r="F876" s="3"/>
      <c r="G876" s="1"/>
      <c r="H876" s="1"/>
      <c r="I876" s="1"/>
      <c r="J876" s="1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2.75" customHeight="1">
      <c r="A877" s="1"/>
      <c r="B877" s="1"/>
      <c r="C877" s="2"/>
      <c r="D877" s="58"/>
      <c r="E877" s="1"/>
      <c r="F877" s="3"/>
      <c r="G877" s="1"/>
      <c r="H877" s="1"/>
      <c r="I877" s="1"/>
      <c r="J877" s="1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2.75" customHeight="1">
      <c r="A878" s="1"/>
      <c r="B878" s="1"/>
      <c r="C878" s="2"/>
      <c r="D878" s="58"/>
      <c r="E878" s="1"/>
      <c r="F878" s="3"/>
      <c r="G878" s="1"/>
      <c r="H878" s="1"/>
      <c r="I878" s="1"/>
      <c r="J878" s="1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2.75" customHeight="1">
      <c r="A879" s="1"/>
      <c r="B879" s="1"/>
      <c r="C879" s="2"/>
      <c r="D879" s="58"/>
      <c r="E879" s="1"/>
      <c r="F879" s="3"/>
      <c r="G879" s="1"/>
      <c r="H879" s="1"/>
      <c r="I879" s="1"/>
      <c r="J879" s="1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2.75" customHeight="1">
      <c r="A880" s="1"/>
      <c r="B880" s="1"/>
      <c r="C880" s="2"/>
      <c r="D880" s="58"/>
      <c r="E880" s="1"/>
      <c r="F880" s="3"/>
      <c r="G880" s="1"/>
      <c r="H880" s="1"/>
      <c r="I880" s="1"/>
      <c r="J880" s="1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2.75" customHeight="1">
      <c r="A881" s="1"/>
      <c r="B881" s="1"/>
      <c r="C881" s="2"/>
      <c r="D881" s="58"/>
      <c r="E881" s="1"/>
      <c r="F881" s="3"/>
      <c r="G881" s="1"/>
      <c r="H881" s="1"/>
      <c r="I881" s="1"/>
      <c r="J881" s="1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2.75" customHeight="1">
      <c r="A882" s="1"/>
      <c r="B882" s="1"/>
      <c r="C882" s="2"/>
      <c r="D882" s="58"/>
      <c r="E882" s="1"/>
      <c r="F882" s="3"/>
      <c r="G882" s="1"/>
      <c r="H882" s="1"/>
      <c r="I882" s="1"/>
      <c r="J882" s="1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2.75" customHeight="1">
      <c r="A883" s="1"/>
      <c r="B883" s="1"/>
      <c r="C883" s="2"/>
      <c r="D883" s="58"/>
      <c r="E883" s="1"/>
      <c r="F883" s="3"/>
      <c r="G883" s="1"/>
      <c r="H883" s="1"/>
      <c r="I883" s="1"/>
      <c r="J883" s="1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2.75" customHeight="1">
      <c r="A884" s="1"/>
      <c r="B884" s="1"/>
      <c r="C884" s="2"/>
      <c r="D884" s="58"/>
      <c r="E884" s="1"/>
      <c r="F884" s="3"/>
      <c r="G884" s="1"/>
      <c r="H884" s="1"/>
      <c r="I884" s="1"/>
      <c r="J884" s="1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2.75" customHeight="1">
      <c r="A885" s="1"/>
      <c r="B885" s="1"/>
      <c r="C885" s="2"/>
      <c r="D885" s="58"/>
      <c r="E885" s="1"/>
      <c r="F885" s="3"/>
      <c r="G885" s="1"/>
      <c r="H885" s="1"/>
      <c r="I885" s="1"/>
      <c r="J885" s="1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2.75" customHeight="1">
      <c r="A886" s="1"/>
      <c r="B886" s="1"/>
      <c r="C886" s="2"/>
      <c r="D886" s="58"/>
      <c r="E886" s="1"/>
      <c r="F886" s="3"/>
      <c r="G886" s="1"/>
      <c r="H886" s="1"/>
      <c r="I886" s="1"/>
      <c r="J886" s="1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2.75" customHeight="1">
      <c r="A887" s="1"/>
      <c r="B887" s="1"/>
      <c r="C887" s="2"/>
      <c r="D887" s="58"/>
      <c r="E887" s="1"/>
      <c r="F887" s="3"/>
      <c r="G887" s="1"/>
      <c r="H887" s="1"/>
      <c r="I887" s="1"/>
      <c r="J887" s="1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2.75" customHeight="1">
      <c r="A888" s="1"/>
      <c r="B888" s="1"/>
      <c r="C888" s="2"/>
      <c r="D888" s="58"/>
      <c r="E888" s="1"/>
      <c r="F888" s="3"/>
      <c r="G888" s="1"/>
      <c r="H888" s="1"/>
      <c r="I888" s="1"/>
      <c r="J888" s="1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2.75" customHeight="1">
      <c r="A889" s="1"/>
      <c r="B889" s="1"/>
      <c r="C889" s="2"/>
      <c r="D889" s="58"/>
      <c r="E889" s="1"/>
      <c r="F889" s="3"/>
      <c r="G889" s="1"/>
      <c r="H889" s="1"/>
      <c r="I889" s="1"/>
      <c r="J889" s="1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2.75" customHeight="1">
      <c r="A890" s="1"/>
      <c r="B890" s="1"/>
      <c r="C890" s="2"/>
      <c r="D890" s="58"/>
      <c r="E890" s="1"/>
      <c r="F890" s="3"/>
      <c r="G890" s="1"/>
      <c r="H890" s="1"/>
      <c r="I890" s="1"/>
      <c r="J890" s="1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2.75" customHeight="1">
      <c r="A891" s="1"/>
      <c r="B891" s="1"/>
      <c r="C891" s="2"/>
      <c r="D891" s="58"/>
      <c r="E891" s="1"/>
      <c r="F891" s="3"/>
      <c r="G891" s="1"/>
      <c r="H891" s="1"/>
      <c r="I891" s="1"/>
      <c r="J891" s="1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2.75" customHeight="1">
      <c r="A892" s="1"/>
      <c r="B892" s="1"/>
      <c r="C892" s="2"/>
      <c r="D892" s="58"/>
      <c r="E892" s="1"/>
      <c r="F892" s="3"/>
      <c r="G892" s="1"/>
      <c r="H892" s="1"/>
      <c r="I892" s="1"/>
      <c r="J892" s="1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2.75" customHeight="1">
      <c r="A893" s="1"/>
      <c r="B893" s="1"/>
      <c r="C893" s="2"/>
      <c r="D893" s="58"/>
      <c r="E893" s="1"/>
      <c r="F893" s="3"/>
      <c r="G893" s="1"/>
      <c r="H893" s="1"/>
      <c r="I893" s="1"/>
      <c r="J893" s="1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2.75" customHeight="1">
      <c r="A894" s="1"/>
      <c r="B894" s="1"/>
      <c r="C894" s="2"/>
      <c r="D894" s="58"/>
      <c r="E894" s="1"/>
      <c r="F894" s="3"/>
      <c r="G894" s="1"/>
      <c r="H894" s="1"/>
      <c r="I894" s="1"/>
      <c r="J894" s="1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2.75" customHeight="1">
      <c r="A895" s="1"/>
      <c r="B895" s="1"/>
      <c r="C895" s="2"/>
      <c r="D895" s="58"/>
      <c r="E895" s="1"/>
      <c r="F895" s="3"/>
      <c r="G895" s="1"/>
      <c r="H895" s="1"/>
      <c r="I895" s="1"/>
      <c r="J895" s="1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2.75" customHeight="1">
      <c r="A896" s="1"/>
      <c r="B896" s="1"/>
      <c r="C896" s="2"/>
      <c r="D896" s="58"/>
      <c r="E896" s="1"/>
      <c r="F896" s="3"/>
      <c r="G896" s="1"/>
      <c r="H896" s="1"/>
      <c r="I896" s="1"/>
      <c r="J896" s="1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2.75" customHeight="1">
      <c r="A897" s="1"/>
      <c r="B897" s="1"/>
      <c r="C897" s="2"/>
      <c r="D897" s="58"/>
      <c r="E897" s="1"/>
      <c r="F897" s="3"/>
      <c r="G897" s="1"/>
      <c r="H897" s="1"/>
      <c r="I897" s="1"/>
      <c r="J897" s="1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2.75" customHeight="1">
      <c r="A898" s="1"/>
      <c r="B898" s="1"/>
      <c r="C898" s="2"/>
      <c r="D898" s="58"/>
      <c r="E898" s="1"/>
      <c r="F898" s="3"/>
      <c r="G898" s="1"/>
      <c r="H898" s="1"/>
      <c r="I898" s="1"/>
      <c r="J898" s="1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2.75" customHeight="1">
      <c r="A899" s="1"/>
      <c r="B899" s="1"/>
      <c r="C899" s="2"/>
      <c r="D899" s="58"/>
      <c r="E899" s="1"/>
      <c r="F899" s="3"/>
      <c r="G899" s="1"/>
      <c r="H899" s="1"/>
      <c r="I899" s="1"/>
      <c r="J899" s="1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2.75" customHeight="1">
      <c r="A900" s="1"/>
      <c r="B900" s="1"/>
      <c r="C900" s="2"/>
      <c r="D900" s="58"/>
      <c r="E900" s="1"/>
      <c r="F900" s="3"/>
      <c r="G900" s="1"/>
      <c r="H900" s="1"/>
      <c r="I900" s="1"/>
      <c r="J900" s="1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2.75" customHeight="1">
      <c r="A901" s="1"/>
      <c r="B901" s="1"/>
      <c r="C901" s="2"/>
      <c r="D901" s="58"/>
      <c r="E901" s="1"/>
      <c r="F901" s="3"/>
      <c r="G901" s="1"/>
      <c r="H901" s="1"/>
      <c r="I901" s="1"/>
      <c r="J901" s="1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2.75" customHeight="1">
      <c r="A902" s="1"/>
      <c r="B902" s="1"/>
      <c r="C902" s="2"/>
      <c r="D902" s="58"/>
      <c r="E902" s="1"/>
      <c r="F902" s="3"/>
      <c r="G902" s="1"/>
      <c r="H902" s="1"/>
      <c r="I902" s="1"/>
      <c r="J902" s="1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2.75" customHeight="1">
      <c r="A903" s="1"/>
      <c r="B903" s="1"/>
      <c r="C903" s="2"/>
      <c r="D903" s="58"/>
      <c r="E903" s="1"/>
      <c r="F903" s="3"/>
      <c r="G903" s="1"/>
      <c r="H903" s="1"/>
      <c r="I903" s="1"/>
      <c r="J903" s="1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2.75" customHeight="1">
      <c r="A904" s="1"/>
      <c r="B904" s="1"/>
      <c r="C904" s="2"/>
      <c r="D904" s="58"/>
      <c r="E904" s="1"/>
      <c r="F904" s="3"/>
      <c r="G904" s="1"/>
      <c r="H904" s="1"/>
      <c r="I904" s="1"/>
      <c r="J904" s="1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2.75" customHeight="1">
      <c r="A905" s="1"/>
      <c r="B905" s="1"/>
      <c r="C905" s="2"/>
      <c r="D905" s="58"/>
      <c r="E905" s="1"/>
      <c r="F905" s="3"/>
      <c r="G905" s="1"/>
      <c r="H905" s="1"/>
      <c r="I905" s="1"/>
      <c r="J905" s="1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2.75" customHeight="1">
      <c r="A906" s="1"/>
      <c r="B906" s="1"/>
      <c r="C906" s="2"/>
      <c r="D906" s="58"/>
      <c r="E906" s="1"/>
      <c r="F906" s="3"/>
      <c r="G906" s="1"/>
      <c r="H906" s="1"/>
      <c r="I906" s="1"/>
      <c r="J906" s="1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2.75" customHeight="1">
      <c r="A907" s="1"/>
      <c r="B907" s="1"/>
      <c r="C907" s="2"/>
      <c r="D907" s="58"/>
      <c r="E907" s="1"/>
      <c r="F907" s="3"/>
      <c r="G907" s="1"/>
      <c r="H907" s="1"/>
      <c r="I907" s="1"/>
      <c r="J907" s="1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2.75" customHeight="1">
      <c r="A908" s="1"/>
      <c r="B908" s="1"/>
      <c r="C908" s="2"/>
      <c r="D908" s="58"/>
      <c r="E908" s="1"/>
      <c r="F908" s="3"/>
      <c r="G908" s="1"/>
      <c r="H908" s="1"/>
      <c r="I908" s="1"/>
      <c r="J908" s="1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2.75" customHeight="1">
      <c r="A909" s="1"/>
      <c r="B909" s="1"/>
      <c r="C909" s="2"/>
      <c r="D909" s="58"/>
      <c r="E909" s="1"/>
      <c r="F909" s="3"/>
      <c r="G909" s="1"/>
      <c r="H909" s="1"/>
      <c r="I909" s="1"/>
      <c r="J909" s="1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2.75" customHeight="1">
      <c r="A910" s="1"/>
      <c r="B910" s="1"/>
      <c r="C910" s="2"/>
      <c r="D910" s="58"/>
      <c r="E910" s="1"/>
      <c r="F910" s="3"/>
      <c r="G910" s="1"/>
      <c r="H910" s="1"/>
      <c r="I910" s="1"/>
      <c r="J910" s="1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2.75" customHeight="1">
      <c r="A911" s="1"/>
      <c r="B911" s="1"/>
      <c r="C911" s="2"/>
      <c r="D911" s="58"/>
      <c r="E911" s="1"/>
      <c r="F911" s="3"/>
      <c r="G911" s="1"/>
      <c r="H911" s="1"/>
      <c r="I911" s="1"/>
      <c r="J911" s="1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2.75" customHeight="1">
      <c r="A912" s="1"/>
      <c r="B912" s="1"/>
      <c r="C912" s="2"/>
      <c r="D912" s="58"/>
      <c r="E912" s="1"/>
      <c r="F912" s="3"/>
      <c r="G912" s="1"/>
      <c r="H912" s="1"/>
      <c r="I912" s="1"/>
      <c r="J912" s="1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2.75" customHeight="1">
      <c r="A913" s="1"/>
      <c r="B913" s="1"/>
      <c r="C913" s="2"/>
      <c r="D913" s="58"/>
      <c r="E913" s="1"/>
      <c r="F913" s="3"/>
      <c r="G913" s="1"/>
      <c r="H913" s="1"/>
      <c r="I913" s="1"/>
      <c r="J913" s="1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2.75" customHeight="1">
      <c r="A914" s="1"/>
      <c r="B914" s="1"/>
      <c r="C914" s="2"/>
      <c r="D914" s="58"/>
      <c r="E914" s="1"/>
      <c r="F914" s="3"/>
      <c r="G914" s="1"/>
      <c r="H914" s="1"/>
      <c r="I914" s="1"/>
      <c r="J914" s="1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2.75" customHeight="1">
      <c r="A915" s="1"/>
      <c r="B915" s="1"/>
      <c r="C915" s="2"/>
      <c r="D915" s="58"/>
      <c r="E915" s="1"/>
      <c r="F915" s="3"/>
      <c r="G915" s="1"/>
      <c r="H915" s="1"/>
      <c r="I915" s="1"/>
      <c r="J915" s="1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2.75" customHeight="1">
      <c r="A916" s="1"/>
      <c r="B916" s="1"/>
      <c r="C916" s="2"/>
      <c r="D916" s="58"/>
      <c r="E916" s="1"/>
      <c r="F916" s="3"/>
      <c r="G916" s="1"/>
      <c r="H916" s="1"/>
      <c r="I916" s="1"/>
      <c r="J916" s="1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2.75" customHeight="1">
      <c r="A917" s="1"/>
      <c r="B917" s="1"/>
      <c r="C917" s="2"/>
      <c r="D917" s="58"/>
      <c r="E917" s="1"/>
      <c r="F917" s="3"/>
      <c r="G917" s="1"/>
      <c r="H917" s="1"/>
      <c r="I917" s="1"/>
      <c r="J917" s="1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2.75" customHeight="1">
      <c r="A918" s="1"/>
      <c r="B918" s="1"/>
      <c r="C918" s="2"/>
      <c r="D918" s="58"/>
      <c r="E918" s="1"/>
      <c r="F918" s="3"/>
      <c r="G918" s="1"/>
      <c r="H918" s="1"/>
      <c r="I918" s="1"/>
      <c r="J918" s="1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2.75" customHeight="1">
      <c r="A919" s="1"/>
      <c r="B919" s="1"/>
      <c r="C919" s="2"/>
      <c r="D919" s="58"/>
      <c r="E919" s="1"/>
      <c r="F919" s="3"/>
      <c r="G919" s="1"/>
      <c r="H919" s="1"/>
      <c r="I919" s="1"/>
      <c r="J919" s="1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2.75" customHeight="1">
      <c r="A920" s="1"/>
      <c r="B920" s="1"/>
      <c r="C920" s="2"/>
      <c r="D920" s="58"/>
      <c r="E920" s="1"/>
      <c r="F920" s="3"/>
      <c r="G920" s="1"/>
      <c r="H920" s="1"/>
      <c r="I920" s="1"/>
      <c r="J920" s="1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2.75" customHeight="1">
      <c r="A921" s="1"/>
      <c r="B921" s="1"/>
      <c r="C921" s="2"/>
      <c r="D921" s="58"/>
      <c r="E921" s="1"/>
      <c r="F921" s="3"/>
      <c r="G921" s="1"/>
      <c r="H921" s="1"/>
      <c r="I921" s="1"/>
      <c r="J921" s="1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2.75" customHeight="1">
      <c r="A922" s="1"/>
      <c r="B922" s="1"/>
      <c r="C922" s="2"/>
      <c r="D922" s="58"/>
      <c r="E922" s="1"/>
      <c r="F922" s="3"/>
      <c r="G922" s="1"/>
      <c r="H922" s="1"/>
      <c r="I922" s="1"/>
      <c r="J922" s="1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2.75" customHeight="1">
      <c r="A923" s="1"/>
      <c r="B923" s="1"/>
      <c r="C923" s="2"/>
      <c r="D923" s="58"/>
      <c r="E923" s="1"/>
      <c r="F923" s="3"/>
      <c r="G923" s="1"/>
      <c r="H923" s="1"/>
      <c r="I923" s="1"/>
      <c r="J923" s="1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2.75" customHeight="1">
      <c r="A924" s="1"/>
      <c r="B924" s="1"/>
      <c r="C924" s="2"/>
      <c r="D924" s="58"/>
      <c r="E924" s="1"/>
      <c r="F924" s="3"/>
      <c r="G924" s="1"/>
      <c r="H924" s="1"/>
      <c r="I924" s="1"/>
      <c r="J924" s="1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2.75" customHeight="1">
      <c r="A925" s="1"/>
      <c r="B925" s="1"/>
      <c r="C925" s="2"/>
      <c r="D925" s="58"/>
      <c r="E925" s="1"/>
      <c r="F925" s="3"/>
      <c r="G925" s="1"/>
      <c r="H925" s="1"/>
      <c r="I925" s="1"/>
      <c r="J925" s="1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2.75" customHeight="1">
      <c r="A926" s="1"/>
      <c r="B926" s="1"/>
      <c r="C926" s="2"/>
      <c r="D926" s="58"/>
      <c r="E926" s="1"/>
      <c r="F926" s="3"/>
      <c r="G926" s="1"/>
      <c r="H926" s="1"/>
      <c r="I926" s="1"/>
      <c r="J926" s="1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2.75" customHeight="1">
      <c r="A927" s="1"/>
      <c r="B927" s="1"/>
      <c r="C927" s="2"/>
      <c r="D927" s="58"/>
      <c r="E927" s="1"/>
      <c r="F927" s="3"/>
      <c r="G927" s="1"/>
      <c r="H927" s="1"/>
      <c r="I927" s="1"/>
      <c r="J927" s="1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2.75" customHeight="1">
      <c r="A928" s="1"/>
      <c r="B928" s="1"/>
      <c r="C928" s="2"/>
      <c r="D928" s="58"/>
      <c r="E928" s="1"/>
      <c r="F928" s="3"/>
      <c r="G928" s="1"/>
      <c r="H928" s="1"/>
      <c r="I928" s="1"/>
      <c r="J928" s="1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2.75" customHeight="1">
      <c r="A929" s="1"/>
      <c r="B929" s="1"/>
      <c r="C929" s="2"/>
      <c r="D929" s="58"/>
      <c r="E929" s="1"/>
      <c r="F929" s="3"/>
      <c r="G929" s="1"/>
      <c r="H929" s="1"/>
      <c r="I929" s="1"/>
      <c r="J929" s="1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2.75" customHeight="1">
      <c r="A930" s="1"/>
      <c r="B930" s="1"/>
      <c r="C930" s="2"/>
      <c r="D930" s="58"/>
      <c r="E930" s="1"/>
      <c r="F930" s="3"/>
      <c r="G930" s="1"/>
      <c r="H930" s="1"/>
      <c r="I930" s="1"/>
      <c r="J930" s="1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2.75" customHeight="1">
      <c r="A931" s="1"/>
      <c r="B931" s="1"/>
      <c r="C931" s="2"/>
      <c r="D931" s="58"/>
      <c r="E931" s="1"/>
      <c r="F931" s="3"/>
      <c r="G931" s="1"/>
      <c r="H931" s="1"/>
      <c r="I931" s="1"/>
      <c r="J931" s="1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2.75" customHeight="1">
      <c r="A932" s="1"/>
      <c r="B932" s="1"/>
      <c r="C932" s="2"/>
      <c r="D932" s="58"/>
      <c r="E932" s="1"/>
      <c r="F932" s="3"/>
      <c r="G932" s="1"/>
      <c r="H932" s="1"/>
      <c r="I932" s="1"/>
      <c r="J932" s="1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2.75" customHeight="1">
      <c r="A933" s="1"/>
      <c r="B933" s="1"/>
      <c r="C933" s="2"/>
      <c r="D933" s="58"/>
      <c r="E933" s="1"/>
      <c r="F933" s="3"/>
      <c r="G933" s="1"/>
      <c r="H933" s="1"/>
      <c r="I933" s="1"/>
      <c r="J933" s="1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2.75" customHeight="1">
      <c r="A934" s="1"/>
      <c r="B934" s="1"/>
      <c r="C934" s="2"/>
      <c r="D934" s="58"/>
      <c r="E934" s="1"/>
      <c r="F934" s="3"/>
      <c r="G934" s="1"/>
      <c r="H934" s="1"/>
      <c r="I934" s="1"/>
      <c r="J934" s="1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2.75" customHeight="1">
      <c r="A935" s="1"/>
      <c r="B935" s="1"/>
      <c r="C935" s="2"/>
      <c r="D935" s="58"/>
      <c r="E935" s="1"/>
      <c r="F935" s="3"/>
      <c r="G935" s="1"/>
      <c r="H935" s="1"/>
      <c r="I935" s="1"/>
      <c r="J935" s="1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2.75" customHeight="1">
      <c r="A936" s="1"/>
      <c r="B936" s="1"/>
      <c r="C936" s="2"/>
      <c r="D936" s="58"/>
      <c r="E936" s="1"/>
      <c r="F936" s="3"/>
      <c r="G936" s="1"/>
      <c r="H936" s="1"/>
      <c r="I936" s="1"/>
      <c r="J936" s="1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2.75" customHeight="1">
      <c r="A937" s="1"/>
      <c r="B937" s="1"/>
      <c r="C937" s="2"/>
      <c r="D937" s="58"/>
      <c r="E937" s="1"/>
      <c r="F937" s="3"/>
      <c r="G937" s="1"/>
      <c r="H937" s="1"/>
      <c r="I937" s="1"/>
      <c r="J937" s="1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2.75" customHeight="1">
      <c r="A938" s="1"/>
      <c r="B938" s="1"/>
      <c r="C938" s="2"/>
      <c r="D938" s="58"/>
      <c r="E938" s="1"/>
      <c r="F938" s="3"/>
      <c r="G938" s="1"/>
      <c r="H938" s="1"/>
      <c r="I938" s="1"/>
      <c r="J938" s="1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2.75" customHeight="1">
      <c r="A939" s="1"/>
      <c r="B939" s="1"/>
      <c r="C939" s="2"/>
      <c r="D939" s="58"/>
      <c r="E939" s="1"/>
      <c r="F939" s="3"/>
      <c r="G939" s="1"/>
      <c r="H939" s="1"/>
      <c r="I939" s="1"/>
      <c r="J939" s="1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2.75" customHeight="1">
      <c r="A940" s="1"/>
      <c r="B940" s="1"/>
      <c r="C940" s="2"/>
      <c r="D940" s="58"/>
      <c r="E940" s="1"/>
      <c r="F940" s="3"/>
      <c r="G940" s="1"/>
      <c r="H940" s="1"/>
      <c r="I940" s="1"/>
      <c r="J940" s="1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2.75" customHeight="1">
      <c r="A941" s="1"/>
      <c r="B941" s="1"/>
      <c r="C941" s="2"/>
      <c r="D941" s="58"/>
      <c r="E941" s="1"/>
      <c r="F941" s="3"/>
      <c r="G941" s="1"/>
      <c r="H941" s="1"/>
      <c r="I941" s="1"/>
      <c r="J941" s="1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2.75" customHeight="1">
      <c r="A942" s="1"/>
      <c r="B942" s="1"/>
      <c r="C942" s="2"/>
      <c r="D942" s="58"/>
      <c r="E942" s="1"/>
      <c r="F942" s="3"/>
      <c r="G942" s="1"/>
      <c r="H942" s="1"/>
      <c r="I942" s="1"/>
      <c r="J942" s="1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2.75" customHeight="1">
      <c r="A943" s="1"/>
      <c r="B943" s="1"/>
      <c r="C943" s="2"/>
      <c r="D943" s="58"/>
      <c r="E943" s="1"/>
      <c r="F943" s="3"/>
      <c r="G943" s="1"/>
      <c r="H943" s="1"/>
      <c r="I943" s="1"/>
      <c r="J943" s="1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2.75" customHeight="1">
      <c r="A944" s="1"/>
      <c r="B944" s="1"/>
      <c r="C944" s="2"/>
      <c r="D944" s="58"/>
      <c r="E944" s="1"/>
      <c r="F944" s="3"/>
      <c r="G944" s="1"/>
      <c r="H944" s="1"/>
      <c r="I944" s="1"/>
      <c r="J944" s="1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2.75" customHeight="1">
      <c r="A945" s="1"/>
      <c r="B945" s="1"/>
      <c r="C945" s="2"/>
      <c r="D945" s="58"/>
      <c r="E945" s="1"/>
      <c r="F945" s="3"/>
      <c r="G945" s="1"/>
      <c r="H945" s="1"/>
      <c r="I945" s="1"/>
      <c r="J945" s="1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2.75" customHeight="1">
      <c r="A946" s="1"/>
      <c r="B946" s="1"/>
      <c r="C946" s="2"/>
      <c r="D946" s="58"/>
      <c r="E946" s="1"/>
      <c r="F946" s="3"/>
      <c r="G946" s="1"/>
      <c r="H946" s="1"/>
      <c r="I946" s="1"/>
      <c r="J946" s="1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2.75" customHeight="1">
      <c r="A947" s="1"/>
      <c r="B947" s="1"/>
      <c r="C947" s="2"/>
      <c r="D947" s="58"/>
      <c r="E947" s="1"/>
      <c r="F947" s="3"/>
      <c r="G947" s="1"/>
      <c r="H947" s="1"/>
      <c r="I947" s="1"/>
      <c r="J947" s="1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2.75" customHeight="1">
      <c r="A948" s="1"/>
      <c r="B948" s="1"/>
      <c r="C948" s="2"/>
      <c r="D948" s="58"/>
      <c r="E948" s="1"/>
      <c r="F948" s="3"/>
      <c r="G948" s="1"/>
      <c r="H948" s="1"/>
      <c r="I948" s="1"/>
      <c r="J948" s="1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2.75" customHeight="1">
      <c r="A949" s="1"/>
      <c r="B949" s="1"/>
      <c r="C949" s="2"/>
      <c r="D949" s="58"/>
      <c r="E949" s="1"/>
      <c r="F949" s="3"/>
      <c r="G949" s="1"/>
      <c r="H949" s="1"/>
      <c r="I949" s="1"/>
      <c r="J949" s="1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2.75" customHeight="1">
      <c r="A950" s="1"/>
      <c r="B950" s="1"/>
      <c r="C950" s="2"/>
      <c r="D950" s="58"/>
      <c r="E950" s="1"/>
      <c r="F950" s="3"/>
      <c r="G950" s="1"/>
      <c r="H950" s="1"/>
      <c r="I950" s="1"/>
      <c r="J950" s="1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2.75" customHeight="1">
      <c r="A951" s="1"/>
      <c r="B951" s="1"/>
      <c r="C951" s="2"/>
      <c r="D951" s="58"/>
      <c r="E951" s="1"/>
      <c r="F951" s="3"/>
      <c r="G951" s="1"/>
      <c r="H951" s="1"/>
      <c r="I951" s="1"/>
      <c r="J951" s="1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2.75" customHeight="1">
      <c r="A952" s="1"/>
      <c r="B952" s="1"/>
      <c r="C952" s="2"/>
      <c r="D952" s="58"/>
      <c r="E952" s="1"/>
      <c r="F952" s="3"/>
      <c r="G952" s="1"/>
      <c r="H952" s="1"/>
      <c r="I952" s="1"/>
      <c r="J952" s="1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2.75" customHeight="1">
      <c r="A953" s="1"/>
      <c r="B953" s="1"/>
      <c r="C953" s="2"/>
      <c r="D953" s="58"/>
      <c r="E953" s="1"/>
      <c r="F953" s="3"/>
      <c r="G953" s="1"/>
      <c r="H953" s="1"/>
      <c r="I953" s="1"/>
      <c r="J953" s="1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2.75" customHeight="1">
      <c r="A954" s="1"/>
      <c r="B954" s="1"/>
      <c r="C954" s="2"/>
      <c r="D954" s="58"/>
      <c r="E954" s="1"/>
      <c r="F954" s="3"/>
      <c r="G954" s="1"/>
      <c r="H954" s="1"/>
      <c r="I954" s="1"/>
      <c r="J954" s="1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2.75" customHeight="1">
      <c r="A955" s="1"/>
      <c r="B955" s="1"/>
      <c r="C955" s="2"/>
      <c r="D955" s="58"/>
      <c r="E955" s="1"/>
      <c r="F955" s="3"/>
      <c r="G955" s="1"/>
      <c r="H955" s="1"/>
      <c r="I955" s="1"/>
      <c r="J955" s="1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2.75" customHeight="1">
      <c r="A956" s="1"/>
      <c r="B956" s="1"/>
      <c r="C956" s="2"/>
      <c r="D956" s="58"/>
      <c r="E956" s="1"/>
      <c r="F956" s="3"/>
      <c r="G956" s="1"/>
      <c r="H956" s="1"/>
      <c r="I956" s="1"/>
      <c r="J956" s="1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2.75" customHeight="1">
      <c r="A957" s="1"/>
      <c r="B957" s="1"/>
      <c r="C957" s="2"/>
      <c r="D957" s="58"/>
      <c r="E957" s="1"/>
      <c r="F957" s="3"/>
      <c r="G957" s="1"/>
      <c r="H957" s="1"/>
      <c r="I957" s="1"/>
      <c r="J957" s="1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2.75" customHeight="1">
      <c r="A958" s="1"/>
      <c r="B958" s="1"/>
      <c r="C958" s="2"/>
      <c r="D958" s="58"/>
      <c r="E958" s="1"/>
      <c r="F958" s="3"/>
      <c r="G958" s="1"/>
      <c r="H958" s="1"/>
      <c r="I958" s="1"/>
      <c r="J958" s="1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2.75" customHeight="1">
      <c r="A959" s="1"/>
      <c r="B959" s="1"/>
      <c r="C959" s="2"/>
      <c r="D959" s="58"/>
      <c r="E959" s="1"/>
      <c r="F959" s="3"/>
      <c r="G959" s="1"/>
      <c r="H959" s="1"/>
      <c r="I959" s="1"/>
      <c r="J959" s="1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2.75" customHeight="1">
      <c r="A960" s="1"/>
      <c r="B960" s="1"/>
      <c r="C960" s="2"/>
      <c r="D960" s="58"/>
      <c r="E960" s="1"/>
      <c r="F960" s="3"/>
      <c r="G960" s="1"/>
      <c r="H960" s="1"/>
      <c r="I960" s="1"/>
      <c r="J960" s="1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2.75" customHeight="1">
      <c r="A961" s="1"/>
      <c r="B961" s="1"/>
      <c r="C961" s="2"/>
      <c r="D961" s="58"/>
      <c r="E961" s="1"/>
      <c r="F961" s="3"/>
      <c r="G961" s="1"/>
      <c r="H961" s="1"/>
      <c r="I961" s="1"/>
      <c r="J961" s="1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2.75" customHeight="1">
      <c r="A962" s="1"/>
      <c r="B962" s="1"/>
      <c r="C962" s="2"/>
      <c r="D962" s="58"/>
      <c r="E962" s="1"/>
      <c r="F962" s="3"/>
      <c r="G962" s="1"/>
      <c r="H962" s="1"/>
      <c r="I962" s="1"/>
      <c r="J962" s="1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2.75" customHeight="1">
      <c r="A963" s="1"/>
      <c r="B963" s="1"/>
      <c r="C963" s="2"/>
      <c r="D963" s="58"/>
      <c r="E963" s="1"/>
      <c r="F963" s="3"/>
      <c r="G963" s="1"/>
      <c r="H963" s="1"/>
      <c r="I963" s="1"/>
      <c r="J963" s="1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2.75" customHeight="1">
      <c r="A964" s="1"/>
      <c r="B964" s="1"/>
      <c r="C964" s="2"/>
      <c r="D964" s="58"/>
      <c r="E964" s="1"/>
      <c r="F964" s="3"/>
      <c r="G964" s="1"/>
      <c r="H964" s="1"/>
      <c r="I964" s="1"/>
      <c r="J964" s="1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2.75" customHeight="1">
      <c r="A965" s="1"/>
      <c r="B965" s="1"/>
      <c r="C965" s="2"/>
      <c r="D965" s="58"/>
      <c r="E965" s="1"/>
      <c r="F965" s="3"/>
      <c r="G965" s="1"/>
      <c r="H965" s="1"/>
      <c r="I965" s="1"/>
      <c r="J965" s="1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2.75" customHeight="1">
      <c r="A966" s="1"/>
      <c r="B966" s="1"/>
      <c r="C966" s="2"/>
      <c r="D966" s="58"/>
      <c r="E966" s="1"/>
      <c r="F966" s="3"/>
      <c r="G966" s="1"/>
      <c r="H966" s="1"/>
      <c r="I966" s="1"/>
      <c r="J966" s="1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2.75" customHeight="1">
      <c r="A967" s="1"/>
      <c r="B967" s="1"/>
      <c r="C967" s="2"/>
      <c r="D967" s="58"/>
      <c r="E967" s="1"/>
      <c r="F967" s="3"/>
      <c r="G967" s="1"/>
      <c r="H967" s="1"/>
      <c r="I967" s="1"/>
      <c r="J967" s="1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2.75" customHeight="1">
      <c r="A968" s="1"/>
      <c r="B968" s="1"/>
      <c r="C968" s="2"/>
      <c r="D968" s="58"/>
      <c r="E968" s="1"/>
      <c r="F968" s="3"/>
      <c r="G968" s="1"/>
      <c r="H968" s="1"/>
      <c r="I968" s="1"/>
      <c r="J968" s="1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2.75" customHeight="1">
      <c r="A969" s="1"/>
      <c r="B969" s="1"/>
      <c r="C969" s="2"/>
      <c r="D969" s="58"/>
      <c r="E969" s="1"/>
      <c r="F969" s="3"/>
      <c r="G969" s="1"/>
      <c r="H969" s="1"/>
      <c r="I969" s="1"/>
      <c r="J969" s="1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2.75" customHeight="1">
      <c r="A970" s="1"/>
      <c r="B970" s="1"/>
      <c r="C970" s="2"/>
      <c r="D970" s="58"/>
      <c r="E970" s="1"/>
      <c r="F970" s="3"/>
      <c r="G970" s="1"/>
      <c r="H970" s="1"/>
      <c r="I970" s="1"/>
      <c r="J970" s="1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2.75" customHeight="1">
      <c r="A971" s="1"/>
      <c r="B971" s="1"/>
      <c r="C971" s="2"/>
      <c r="D971" s="58"/>
      <c r="E971" s="1"/>
      <c r="F971" s="3"/>
      <c r="G971" s="1"/>
      <c r="H971" s="1"/>
      <c r="I971" s="1"/>
      <c r="J971" s="1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2.75" customHeight="1">
      <c r="A972" s="1"/>
      <c r="B972" s="1"/>
      <c r="C972" s="2"/>
      <c r="D972" s="58"/>
      <c r="E972" s="1"/>
      <c r="F972" s="3"/>
      <c r="G972" s="1"/>
      <c r="H972" s="1"/>
      <c r="I972" s="1"/>
      <c r="J972" s="1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2.75" customHeight="1">
      <c r="A973" s="1"/>
      <c r="B973" s="1"/>
      <c r="C973" s="2"/>
      <c r="D973" s="58"/>
      <c r="E973" s="1"/>
      <c r="F973" s="3"/>
      <c r="G973" s="1"/>
      <c r="H973" s="1"/>
      <c r="I973" s="1"/>
      <c r="J973" s="1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2.75" customHeight="1">
      <c r="A974" s="1"/>
      <c r="B974" s="1"/>
      <c r="C974" s="2"/>
      <c r="D974" s="58"/>
      <c r="E974" s="1"/>
      <c r="F974" s="3"/>
      <c r="G974" s="1"/>
      <c r="H974" s="1"/>
      <c r="I974" s="1"/>
      <c r="J974" s="1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2.75" customHeight="1">
      <c r="A975" s="1"/>
      <c r="B975" s="1"/>
      <c r="C975" s="2"/>
      <c r="D975" s="58"/>
      <c r="E975" s="1"/>
      <c r="F975" s="3"/>
      <c r="G975" s="1"/>
      <c r="H975" s="1"/>
      <c r="I975" s="1"/>
      <c r="J975" s="1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2.75" customHeight="1">
      <c r="A976" s="1"/>
      <c r="B976" s="1"/>
      <c r="C976" s="2"/>
      <c r="D976" s="58"/>
      <c r="E976" s="1"/>
      <c r="F976" s="3"/>
      <c r="G976" s="1"/>
      <c r="H976" s="1"/>
      <c r="I976" s="1"/>
      <c r="J976" s="1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2.75" customHeight="1">
      <c r="A977" s="1"/>
      <c r="B977" s="1"/>
      <c r="C977" s="2"/>
      <c r="D977" s="58"/>
      <c r="E977" s="1"/>
      <c r="F977" s="3"/>
      <c r="G977" s="1"/>
      <c r="H977" s="1"/>
      <c r="I977" s="1"/>
      <c r="J977" s="1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2.75" customHeight="1">
      <c r="A978" s="1"/>
      <c r="B978" s="1"/>
      <c r="C978" s="2"/>
      <c r="D978" s="58"/>
      <c r="E978" s="1"/>
      <c r="F978" s="3"/>
      <c r="G978" s="1"/>
      <c r="H978" s="1"/>
      <c r="I978" s="1"/>
      <c r="J978" s="1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2.75" customHeight="1">
      <c r="A979" s="1"/>
      <c r="B979" s="1"/>
      <c r="C979" s="2"/>
      <c r="D979" s="58"/>
      <c r="E979" s="1"/>
      <c r="F979" s="3"/>
      <c r="G979" s="1"/>
      <c r="H979" s="1"/>
      <c r="I979" s="1"/>
      <c r="J979" s="1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2.75" customHeight="1">
      <c r="A980" s="1"/>
      <c r="B980" s="1"/>
      <c r="C980" s="2"/>
      <c r="D980" s="58"/>
      <c r="E980" s="1"/>
      <c r="F980" s="3"/>
      <c r="G980" s="1"/>
      <c r="H980" s="1"/>
      <c r="I980" s="1"/>
      <c r="J980" s="1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2.75" customHeight="1">
      <c r="A981" s="1"/>
      <c r="B981" s="1"/>
      <c r="C981" s="2"/>
      <c r="D981" s="58"/>
      <c r="E981" s="1"/>
      <c r="F981" s="3"/>
      <c r="G981" s="1"/>
      <c r="H981" s="1"/>
      <c r="I981" s="1"/>
      <c r="J981" s="1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2.75" customHeight="1">
      <c r="A982" s="1"/>
      <c r="B982" s="1"/>
      <c r="C982" s="2"/>
      <c r="D982" s="58"/>
      <c r="E982" s="1"/>
      <c r="F982" s="3"/>
      <c r="G982" s="1"/>
      <c r="H982" s="1"/>
      <c r="I982" s="1"/>
      <c r="J982" s="1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2.75" customHeight="1">
      <c r="A983" s="1"/>
      <c r="B983" s="1"/>
      <c r="C983" s="2"/>
      <c r="D983" s="58"/>
      <c r="E983" s="1"/>
      <c r="F983" s="3"/>
      <c r="G983" s="1"/>
      <c r="H983" s="1"/>
      <c r="I983" s="1"/>
      <c r="J983" s="1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2.75" customHeight="1">
      <c r="A984" s="1"/>
      <c r="B984" s="1"/>
      <c r="C984" s="2"/>
      <c r="D984" s="58"/>
      <c r="E984" s="1"/>
      <c r="F984" s="3"/>
      <c r="G984" s="1"/>
      <c r="H984" s="1"/>
      <c r="I984" s="1"/>
      <c r="J984" s="1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2.75" customHeight="1">
      <c r="A985" s="1"/>
      <c r="B985" s="1"/>
      <c r="C985" s="2"/>
      <c r="D985" s="58"/>
      <c r="E985" s="1"/>
      <c r="F985" s="3"/>
      <c r="G985" s="1"/>
      <c r="H985" s="1"/>
      <c r="I985" s="1"/>
      <c r="J985" s="1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2.75" customHeight="1">
      <c r="A986" s="1"/>
      <c r="B986" s="1"/>
      <c r="C986" s="2"/>
      <c r="D986" s="58"/>
      <c r="E986" s="1"/>
      <c r="F986" s="3"/>
      <c r="G986" s="1"/>
      <c r="H986" s="1"/>
      <c r="I986" s="1"/>
      <c r="J986" s="1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2.75" customHeight="1">
      <c r="A987" s="1"/>
      <c r="B987" s="1"/>
      <c r="C987" s="2"/>
      <c r="D987" s="58"/>
      <c r="E987" s="1"/>
      <c r="F987" s="3"/>
      <c r="G987" s="1"/>
      <c r="H987" s="1"/>
      <c r="I987" s="1"/>
      <c r="J987" s="1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2.75" customHeight="1">
      <c r="A988" s="1"/>
      <c r="B988" s="1"/>
      <c r="C988" s="2"/>
      <c r="D988" s="58"/>
      <c r="E988" s="1"/>
      <c r="F988" s="3"/>
      <c r="G988" s="1"/>
      <c r="H988" s="1"/>
      <c r="I988" s="1"/>
      <c r="J988" s="1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2.75" customHeight="1">
      <c r="A989" s="1"/>
      <c r="B989" s="1"/>
      <c r="C989" s="2"/>
      <c r="D989" s="58"/>
      <c r="E989" s="1"/>
      <c r="F989" s="3"/>
      <c r="G989" s="1"/>
      <c r="H989" s="1"/>
      <c r="I989" s="1"/>
      <c r="J989" s="1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2.75" customHeight="1">
      <c r="A990" s="1"/>
      <c r="B990" s="1"/>
      <c r="C990" s="2"/>
      <c r="D990" s="58"/>
      <c r="E990" s="1"/>
      <c r="F990" s="3"/>
      <c r="G990" s="1"/>
      <c r="H990" s="1"/>
      <c r="I990" s="1"/>
      <c r="J990" s="1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2.75" customHeight="1">
      <c r="A991" s="1"/>
      <c r="B991" s="1"/>
      <c r="C991" s="2"/>
      <c r="D991" s="58"/>
      <c r="E991" s="1"/>
      <c r="F991" s="3"/>
      <c r="G991" s="1"/>
      <c r="H991" s="1"/>
      <c r="I991" s="1"/>
      <c r="J991" s="1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2.75" customHeight="1">
      <c r="A992" s="1"/>
      <c r="B992" s="1"/>
      <c r="C992" s="2"/>
      <c r="D992" s="58"/>
      <c r="E992" s="1"/>
      <c r="F992" s="3"/>
      <c r="G992" s="1"/>
      <c r="H992" s="1"/>
      <c r="I992" s="1"/>
      <c r="J992" s="1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2.75" customHeight="1">
      <c r="A993" s="1"/>
      <c r="B993" s="1"/>
      <c r="C993" s="2"/>
      <c r="D993" s="58"/>
      <c r="E993" s="1"/>
      <c r="F993" s="3"/>
      <c r="G993" s="1"/>
      <c r="H993" s="1"/>
      <c r="I993" s="1"/>
      <c r="J993" s="1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2.75" customHeight="1">
      <c r="A994" s="1"/>
      <c r="B994" s="1"/>
      <c r="C994" s="2"/>
      <c r="D994" s="58"/>
      <c r="E994" s="1"/>
      <c r="F994" s="3"/>
      <c r="G994" s="1"/>
      <c r="H994" s="1"/>
      <c r="I994" s="1"/>
      <c r="J994" s="1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2.75" customHeight="1">
      <c r="A995" s="1"/>
      <c r="B995" s="1"/>
      <c r="C995" s="2"/>
      <c r="D995" s="58"/>
      <c r="E995" s="1"/>
      <c r="F995" s="3"/>
      <c r="G995" s="1"/>
      <c r="H995" s="1"/>
      <c r="I995" s="1"/>
      <c r="J995" s="1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2.75" customHeight="1">
      <c r="A996" s="1"/>
      <c r="B996" s="1"/>
      <c r="C996" s="2"/>
      <c r="D996" s="58"/>
      <c r="E996" s="1"/>
      <c r="F996" s="3"/>
      <c r="G996" s="1"/>
      <c r="H996" s="1"/>
      <c r="I996" s="1"/>
      <c r="J996" s="1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2.75" customHeight="1">
      <c r="A997" s="1"/>
      <c r="B997" s="1"/>
      <c r="C997" s="2"/>
      <c r="D997" s="58"/>
      <c r="E997" s="1"/>
      <c r="F997" s="3"/>
      <c r="G997" s="1"/>
      <c r="H997" s="1"/>
      <c r="I997" s="1"/>
      <c r="J997" s="1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2.75" customHeight="1">
      <c r="A998" s="1"/>
      <c r="B998" s="1"/>
      <c r="C998" s="2"/>
      <c r="D998" s="58"/>
      <c r="E998" s="1"/>
      <c r="F998" s="3"/>
      <c r="G998" s="1"/>
      <c r="H998" s="1"/>
      <c r="I998" s="1"/>
      <c r="J998" s="1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2.75" customHeight="1">
      <c r="A999" s="1"/>
      <c r="B999" s="1"/>
      <c r="C999" s="2"/>
      <c r="D999" s="58"/>
      <c r="E999" s="1"/>
      <c r="F999" s="3"/>
      <c r="G999" s="1"/>
      <c r="H999" s="1"/>
      <c r="I999" s="1"/>
      <c r="J999" s="1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2.75" customHeight="1">
      <c r="A1000" s="1"/>
      <c r="B1000" s="1"/>
      <c r="C1000" s="2"/>
      <c r="D1000" s="58"/>
      <c r="E1000" s="1"/>
      <c r="F1000" s="3"/>
      <c r="G1000" s="1"/>
      <c r="H1000" s="1"/>
      <c r="I1000" s="1"/>
      <c r="J1000" s="1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2.75" customHeight="1">
      <c r="A1001" s="1"/>
      <c r="B1001" s="1"/>
      <c r="C1001" s="2"/>
      <c r="D1001" s="58"/>
      <c r="E1001" s="1"/>
      <c r="F1001" s="3"/>
      <c r="G1001" s="1"/>
      <c r="H1001" s="1"/>
      <c r="I1001" s="1"/>
      <c r="J1001" s="1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12.75" customHeight="1">
      <c r="A1002" s="1"/>
      <c r="B1002" s="1"/>
      <c r="C1002" s="2"/>
      <c r="D1002" s="58"/>
      <c r="E1002" s="1"/>
      <c r="F1002" s="3"/>
      <c r="G1002" s="1"/>
      <c r="H1002" s="1"/>
      <c r="I1002" s="1"/>
      <c r="J1002" s="1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12.75" customHeight="1">
      <c r="A1003" s="1"/>
      <c r="B1003" s="1"/>
      <c r="C1003" s="2"/>
      <c r="D1003" s="58"/>
      <c r="E1003" s="1"/>
      <c r="F1003" s="3"/>
      <c r="G1003" s="1"/>
      <c r="H1003" s="1"/>
      <c r="I1003" s="1"/>
      <c r="J1003" s="1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12.75" customHeight="1">
      <c r="A1004" s="1"/>
      <c r="B1004" s="1"/>
      <c r="C1004" s="2"/>
      <c r="D1004" s="58"/>
      <c r="E1004" s="1"/>
      <c r="F1004" s="3"/>
      <c r="G1004" s="1"/>
      <c r="H1004" s="1"/>
      <c r="I1004" s="1"/>
      <c r="J1004" s="1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1:24" ht="12.75" customHeight="1">
      <c r="A1005" s="1"/>
      <c r="B1005" s="1"/>
      <c r="C1005" s="2"/>
      <c r="D1005" s="58"/>
      <c r="E1005" s="1"/>
      <c r="F1005" s="3"/>
      <c r="G1005" s="1"/>
      <c r="H1005" s="1"/>
      <c r="I1005" s="1"/>
      <c r="J1005" s="1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 ht="12.75" customHeight="1">
      <c r="A1006" s="1"/>
      <c r="B1006" s="1"/>
      <c r="C1006" s="2"/>
      <c r="D1006" s="58"/>
      <c r="E1006" s="1"/>
      <c r="F1006" s="3"/>
      <c r="G1006" s="1"/>
      <c r="H1006" s="1"/>
      <c r="I1006" s="1"/>
      <c r="J1006" s="1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1:24" ht="12.75" customHeight="1">
      <c r="A1007" s="1"/>
      <c r="B1007" s="1"/>
      <c r="C1007" s="2"/>
      <c r="D1007" s="58"/>
      <c r="E1007" s="1"/>
      <c r="F1007" s="3"/>
      <c r="G1007" s="1"/>
      <c r="H1007" s="1"/>
      <c r="I1007" s="1"/>
      <c r="J1007" s="1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1:24" ht="12.75" customHeight="1">
      <c r="A1008" s="1"/>
      <c r="B1008" s="1"/>
      <c r="C1008" s="2"/>
      <c r="D1008" s="58"/>
      <c r="E1008" s="1"/>
      <c r="F1008" s="3"/>
      <c r="G1008" s="1"/>
      <c r="H1008" s="1"/>
      <c r="I1008" s="1"/>
      <c r="J1008" s="1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1:24" ht="12.75" customHeight="1">
      <c r="A1009" s="1"/>
      <c r="B1009" s="1"/>
      <c r="C1009" s="2"/>
      <c r="D1009" s="58"/>
      <c r="E1009" s="1"/>
      <c r="F1009" s="3"/>
      <c r="G1009" s="1"/>
      <c r="H1009" s="1"/>
      <c r="I1009" s="1"/>
      <c r="J1009" s="1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spans="1:24" ht="12.75" customHeight="1">
      <c r="A1010" s="1"/>
      <c r="B1010" s="1"/>
      <c r="C1010" s="2"/>
      <c r="D1010" s="58"/>
      <c r="E1010" s="1"/>
      <c r="F1010" s="3"/>
      <c r="G1010" s="1"/>
      <c r="H1010" s="1"/>
      <c r="I1010" s="1"/>
      <c r="J1010" s="1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spans="1:24" ht="12.75" customHeight="1">
      <c r="A1011" s="1"/>
      <c r="B1011" s="1"/>
      <c r="C1011" s="2"/>
      <c r="D1011" s="58"/>
      <c r="E1011" s="1"/>
      <c r="F1011" s="3"/>
      <c r="G1011" s="1"/>
      <c r="H1011" s="1"/>
      <c r="I1011" s="1"/>
      <c r="J1011" s="1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 spans="1:24" ht="12.75" customHeight="1">
      <c r="A1012" s="1"/>
      <c r="B1012" s="1"/>
      <c r="C1012" s="2"/>
      <c r="D1012" s="58"/>
      <c r="E1012" s="1"/>
      <c r="F1012" s="3"/>
      <c r="G1012" s="1"/>
      <c r="H1012" s="1"/>
      <c r="I1012" s="1"/>
      <c r="J1012" s="1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 spans="1:24" ht="12.75" customHeight="1">
      <c r="A1013" s="1"/>
      <c r="B1013" s="1"/>
      <c r="C1013" s="2"/>
      <c r="D1013" s="58"/>
      <c r="E1013" s="1"/>
      <c r="F1013" s="3"/>
      <c r="G1013" s="1"/>
      <c r="H1013" s="1"/>
      <c r="I1013" s="1"/>
      <c r="J1013" s="1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 spans="1:24" ht="12.75" customHeight="1">
      <c r="A1014" s="1"/>
      <c r="B1014" s="1"/>
      <c r="C1014" s="2"/>
      <c r="D1014" s="58"/>
      <c r="E1014" s="1"/>
      <c r="F1014" s="3"/>
      <c r="G1014" s="1"/>
      <c r="H1014" s="1"/>
      <c r="I1014" s="1"/>
      <c r="J1014" s="1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 spans="1:24" ht="12.75" customHeight="1">
      <c r="A1015" s="1"/>
      <c r="B1015" s="1"/>
      <c r="C1015" s="2"/>
      <c r="D1015" s="58"/>
      <c r="E1015" s="1"/>
      <c r="F1015" s="3"/>
      <c r="G1015" s="1"/>
      <c r="H1015" s="1"/>
      <c r="I1015" s="1"/>
      <c r="J1015" s="1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 spans="1:24" ht="12.75" customHeight="1">
      <c r="A1016" s="1"/>
      <c r="B1016" s="1"/>
      <c r="C1016" s="2"/>
      <c r="D1016" s="58"/>
      <c r="E1016" s="1"/>
      <c r="F1016" s="3"/>
      <c r="G1016" s="1"/>
      <c r="H1016" s="1"/>
      <c r="I1016" s="1"/>
      <c r="J1016" s="1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 spans="1:24" ht="12.75" customHeight="1">
      <c r="A1017" s="1"/>
      <c r="B1017" s="1"/>
      <c r="C1017" s="2"/>
      <c r="D1017" s="58"/>
      <c r="E1017" s="1"/>
      <c r="F1017" s="3"/>
      <c r="G1017" s="1"/>
      <c r="H1017" s="1"/>
      <c r="I1017" s="1"/>
      <c r="J1017" s="1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</row>
    <row r="1018" spans="1:24" ht="12.75" customHeight="1">
      <c r="A1018" s="1"/>
      <c r="B1018" s="1"/>
      <c r="C1018" s="2"/>
      <c r="D1018" s="58"/>
      <c r="E1018" s="1"/>
      <c r="F1018" s="3"/>
      <c r="G1018" s="1"/>
      <c r="H1018" s="1"/>
      <c r="I1018" s="1"/>
      <c r="J1018" s="1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</row>
    <row r="1019" spans="1:24" ht="12.75" customHeight="1">
      <c r="A1019" s="1"/>
      <c r="B1019" s="1"/>
      <c r="C1019" s="2"/>
      <c r="D1019" s="58"/>
      <c r="E1019" s="1"/>
      <c r="F1019" s="3"/>
      <c r="G1019" s="1"/>
      <c r="H1019" s="1"/>
      <c r="I1019" s="1"/>
      <c r="J1019" s="1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 spans="1:24" ht="12.75" customHeight="1">
      <c r="A1020" s="1"/>
      <c r="B1020" s="1"/>
      <c r="C1020" s="2"/>
      <c r="D1020" s="58"/>
      <c r="E1020" s="1"/>
      <c r="F1020" s="3"/>
      <c r="G1020" s="1"/>
      <c r="H1020" s="1"/>
      <c r="I1020" s="1"/>
      <c r="J1020" s="1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 spans="1:24" ht="12.75" customHeight="1">
      <c r="A1021" s="1"/>
      <c r="B1021" s="1"/>
      <c r="C1021" s="2"/>
      <c r="D1021" s="58"/>
      <c r="E1021" s="1"/>
      <c r="F1021" s="3"/>
      <c r="G1021" s="1"/>
      <c r="H1021" s="1"/>
      <c r="I1021" s="1"/>
      <c r="J1021" s="1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 spans="1:24" ht="12.75" customHeight="1">
      <c r="A1022" s="1"/>
      <c r="B1022" s="1"/>
      <c r="C1022" s="2"/>
      <c r="D1022" s="58"/>
      <c r="E1022" s="1"/>
      <c r="F1022" s="3"/>
      <c r="G1022" s="1"/>
      <c r="H1022" s="1"/>
      <c r="I1022" s="1"/>
      <c r="J1022" s="1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</row>
    <row r="1023" spans="1:24" ht="12.75" customHeight="1">
      <c r="A1023" s="1"/>
      <c r="B1023" s="1"/>
      <c r="C1023" s="2"/>
      <c r="D1023" s="58"/>
      <c r="E1023" s="1"/>
      <c r="F1023" s="3"/>
      <c r="G1023" s="1"/>
      <c r="H1023" s="1"/>
      <c r="I1023" s="1"/>
      <c r="J1023" s="1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</row>
    <row r="1024" spans="1:24" ht="12.75" customHeight="1">
      <c r="A1024" s="1"/>
      <c r="B1024" s="1"/>
      <c r="C1024" s="2"/>
      <c r="D1024" s="58"/>
      <c r="E1024" s="1"/>
      <c r="F1024" s="3"/>
      <c r="G1024" s="1"/>
      <c r="H1024" s="1"/>
      <c r="I1024" s="1"/>
      <c r="J1024" s="1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</row>
    <row r="1025" spans="1:24" ht="12.75" customHeight="1">
      <c r="A1025" s="1"/>
      <c r="B1025" s="1"/>
      <c r="C1025" s="2"/>
      <c r="D1025" s="58"/>
      <c r="E1025" s="1"/>
      <c r="F1025" s="3"/>
      <c r="G1025" s="1"/>
      <c r="H1025" s="1"/>
      <c r="I1025" s="1"/>
      <c r="J1025" s="1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</row>
    <row r="1026" spans="1:24" ht="12.75" customHeight="1">
      <c r="A1026" s="1"/>
      <c r="B1026" s="1"/>
      <c r="C1026" s="2"/>
      <c r="D1026" s="58"/>
      <c r="E1026" s="1"/>
      <c r="F1026" s="3"/>
      <c r="G1026" s="1"/>
      <c r="H1026" s="1"/>
      <c r="I1026" s="1"/>
      <c r="J1026" s="1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</row>
    <row r="1027" spans="1:24" ht="12.75" customHeight="1">
      <c r="A1027" s="1"/>
      <c r="B1027" s="1"/>
      <c r="C1027" s="2"/>
      <c r="D1027" s="58"/>
      <c r="E1027" s="1"/>
      <c r="F1027" s="3"/>
      <c r="G1027" s="1"/>
      <c r="H1027" s="1"/>
      <c r="I1027" s="1"/>
      <c r="J1027" s="1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</row>
    <row r="1028" spans="1:24" ht="12.75" customHeight="1">
      <c r="A1028" s="1"/>
      <c r="B1028" s="1"/>
      <c r="C1028" s="2"/>
      <c r="D1028" s="58"/>
      <c r="E1028" s="1"/>
      <c r="F1028" s="3"/>
      <c r="G1028" s="1"/>
      <c r="H1028" s="1"/>
      <c r="I1028" s="1"/>
      <c r="J1028" s="1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</row>
    <row r="1029" spans="1:24" ht="12.75" customHeight="1">
      <c r="A1029" s="1"/>
      <c r="B1029" s="1"/>
      <c r="C1029" s="2"/>
      <c r="D1029" s="58"/>
      <c r="E1029" s="1"/>
      <c r="F1029" s="3"/>
      <c r="G1029" s="1"/>
      <c r="H1029" s="1"/>
      <c r="I1029" s="1"/>
      <c r="J1029" s="1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</row>
    <row r="1030" spans="1:24" ht="12.75" customHeight="1">
      <c r="A1030" s="1"/>
      <c r="B1030" s="1"/>
      <c r="C1030" s="2"/>
      <c r="D1030" s="58"/>
      <c r="E1030" s="1"/>
      <c r="F1030" s="3"/>
      <c r="G1030" s="1"/>
      <c r="H1030" s="1"/>
      <c r="I1030" s="1"/>
      <c r="J1030" s="1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</row>
    <row r="1031" spans="1:24" ht="12.75" customHeight="1">
      <c r="A1031" s="1"/>
      <c r="B1031" s="1"/>
      <c r="C1031" s="2"/>
      <c r="D1031" s="58"/>
      <c r="E1031" s="1"/>
      <c r="F1031" s="3"/>
      <c r="G1031" s="1"/>
      <c r="H1031" s="1"/>
      <c r="I1031" s="1"/>
      <c r="J1031" s="1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</row>
    <row r="1032" spans="1:24" ht="12.75" customHeight="1">
      <c r="A1032" s="1"/>
      <c r="B1032" s="1"/>
      <c r="C1032" s="2"/>
      <c r="D1032" s="58"/>
      <c r="E1032" s="1"/>
      <c r="F1032" s="3"/>
      <c r="G1032" s="1"/>
      <c r="H1032" s="1"/>
      <c r="I1032" s="1"/>
      <c r="J1032" s="1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</row>
    <row r="1033" spans="1:24" ht="12.75" customHeight="1">
      <c r="A1033" s="1"/>
      <c r="B1033" s="1"/>
      <c r="C1033" s="2"/>
      <c r="D1033" s="58"/>
      <c r="E1033" s="1"/>
      <c r="F1033" s="3"/>
      <c r="G1033" s="1"/>
      <c r="H1033" s="1"/>
      <c r="I1033" s="1"/>
      <c r="J1033" s="1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</row>
    <row r="1034" spans="1:24" ht="12.75" customHeight="1">
      <c r="A1034" s="1"/>
      <c r="B1034" s="1"/>
      <c r="C1034" s="2"/>
      <c r="D1034" s="58"/>
      <c r="E1034" s="1"/>
      <c r="F1034" s="3"/>
      <c r="G1034" s="1"/>
      <c r="H1034" s="1"/>
      <c r="I1034" s="1"/>
      <c r="J1034" s="1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</row>
    <row r="1035" spans="1:24" ht="12.75" customHeight="1">
      <c r="A1035" s="1"/>
      <c r="B1035" s="1"/>
      <c r="C1035" s="2"/>
      <c r="D1035" s="58"/>
      <c r="E1035" s="1"/>
      <c r="F1035" s="3"/>
      <c r="G1035" s="1"/>
      <c r="H1035" s="1"/>
      <c r="I1035" s="1"/>
      <c r="J1035" s="1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</row>
    <row r="1036" spans="1:24" ht="12.75" customHeight="1">
      <c r="A1036" s="1"/>
      <c r="B1036" s="1"/>
      <c r="C1036" s="2"/>
      <c r="D1036" s="58"/>
      <c r="E1036" s="1"/>
      <c r="F1036" s="3"/>
      <c r="G1036" s="1"/>
      <c r="H1036" s="1"/>
      <c r="I1036" s="1"/>
      <c r="J1036" s="1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</row>
    <row r="1037" spans="1:24" ht="12.75" customHeight="1">
      <c r="A1037" s="1"/>
      <c r="B1037" s="1"/>
      <c r="C1037" s="2"/>
      <c r="D1037" s="58"/>
      <c r="E1037" s="1"/>
      <c r="F1037" s="3"/>
      <c r="G1037" s="1"/>
      <c r="H1037" s="1"/>
      <c r="I1037" s="1"/>
      <c r="J1037" s="1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</row>
    <row r="1038" spans="1:24" ht="12.75" customHeight="1">
      <c r="A1038" s="1"/>
      <c r="B1038" s="1"/>
      <c r="C1038" s="2"/>
      <c r="D1038" s="58"/>
      <c r="E1038" s="1"/>
      <c r="F1038" s="3"/>
      <c r="G1038" s="1"/>
      <c r="H1038" s="1"/>
      <c r="I1038" s="1"/>
      <c r="J1038" s="1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</row>
    <row r="1039" spans="1:24" ht="12.75" customHeight="1">
      <c r="A1039" s="1"/>
      <c r="B1039" s="1"/>
      <c r="C1039" s="2"/>
      <c r="D1039" s="58"/>
      <c r="E1039" s="1"/>
      <c r="F1039" s="3"/>
      <c r="G1039" s="1"/>
      <c r="H1039" s="1"/>
      <c r="I1039" s="1"/>
      <c r="J1039" s="1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</row>
    <row r="1040" spans="1:24" ht="12.75" customHeight="1">
      <c r="A1040" s="1"/>
      <c r="B1040" s="1"/>
      <c r="C1040" s="2"/>
      <c r="D1040" s="58"/>
      <c r="E1040" s="1"/>
      <c r="F1040" s="3"/>
      <c r="G1040" s="1"/>
      <c r="H1040" s="1"/>
      <c r="I1040" s="1"/>
      <c r="J1040" s="1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</row>
    <row r="1041" spans="1:24" ht="12.75" customHeight="1">
      <c r="A1041" s="1"/>
      <c r="B1041" s="1"/>
      <c r="C1041" s="2"/>
      <c r="D1041" s="58"/>
      <c r="E1041" s="1"/>
      <c r="F1041" s="3"/>
      <c r="G1041" s="1"/>
      <c r="H1041" s="1"/>
      <c r="I1041" s="1"/>
      <c r="J1041" s="1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</row>
    <row r="1042" spans="1:24" ht="12.75" customHeight="1">
      <c r="A1042" s="1"/>
      <c r="B1042" s="1"/>
      <c r="C1042" s="2"/>
      <c r="D1042" s="58"/>
      <c r="E1042" s="1"/>
      <c r="F1042" s="3"/>
      <c r="G1042" s="1"/>
      <c r="H1042" s="1"/>
      <c r="I1042" s="1"/>
      <c r="J1042" s="1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</row>
    <row r="1043" spans="1:24" ht="12.75" customHeight="1">
      <c r="A1043" s="1"/>
      <c r="B1043" s="1"/>
      <c r="C1043" s="2"/>
      <c r="D1043" s="58"/>
      <c r="E1043" s="1"/>
      <c r="F1043" s="3"/>
      <c r="G1043" s="1"/>
      <c r="H1043" s="1"/>
      <c r="I1043" s="1"/>
      <c r="J1043" s="1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</row>
    <row r="1044" spans="1:24" ht="12.75" customHeight="1">
      <c r="A1044" s="1"/>
      <c r="B1044" s="1"/>
      <c r="C1044" s="2"/>
      <c r="D1044" s="58"/>
      <c r="E1044" s="1"/>
      <c r="F1044" s="3"/>
      <c r="G1044" s="1"/>
      <c r="H1044" s="1"/>
      <c r="I1044" s="1"/>
      <c r="J1044" s="1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</row>
    <row r="1045" spans="1:24" ht="12.75" customHeight="1">
      <c r="A1045" s="1"/>
      <c r="B1045" s="1"/>
      <c r="C1045" s="2"/>
      <c r="D1045" s="58"/>
      <c r="E1045" s="1"/>
      <c r="F1045" s="3"/>
      <c r="G1045" s="1"/>
      <c r="H1045" s="1"/>
      <c r="I1045" s="1"/>
      <c r="J1045" s="1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</row>
    <row r="1046" spans="1:24" ht="12.75" customHeight="1">
      <c r="A1046" s="1"/>
      <c r="B1046" s="1"/>
      <c r="C1046" s="2"/>
      <c r="D1046" s="58"/>
      <c r="E1046" s="1"/>
      <c r="F1046" s="3"/>
      <c r="G1046" s="1"/>
      <c r="H1046" s="1"/>
      <c r="I1046" s="1"/>
      <c r="J1046" s="1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</row>
    <row r="1047" spans="1:24" ht="12.75" customHeight="1">
      <c r="A1047" s="1"/>
      <c r="B1047" s="1"/>
      <c r="C1047" s="2"/>
      <c r="D1047" s="58"/>
      <c r="E1047" s="1"/>
      <c r="F1047" s="3"/>
      <c r="G1047" s="1"/>
      <c r="H1047" s="1"/>
      <c r="I1047" s="1"/>
      <c r="J1047" s="1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</row>
    <row r="1048" spans="1:24" ht="12.75" customHeight="1">
      <c r="A1048" s="1"/>
      <c r="B1048" s="1"/>
      <c r="C1048" s="2"/>
      <c r="D1048" s="58"/>
      <c r="E1048" s="1"/>
      <c r="F1048" s="3"/>
      <c r="G1048" s="1"/>
      <c r="H1048" s="1"/>
      <c r="I1048" s="1"/>
      <c r="J1048" s="1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</row>
    <row r="1049" spans="1:24" ht="12.75" customHeight="1">
      <c r="A1049" s="1"/>
      <c r="B1049" s="1"/>
      <c r="C1049" s="2"/>
      <c r="D1049" s="58"/>
      <c r="E1049" s="1"/>
      <c r="F1049" s="3"/>
      <c r="G1049" s="1"/>
      <c r="H1049" s="1"/>
      <c r="I1049" s="1"/>
      <c r="J1049" s="1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</row>
    <row r="1050" spans="1:24" ht="12.75" customHeight="1">
      <c r="A1050" s="1"/>
      <c r="B1050" s="1"/>
      <c r="C1050" s="2"/>
      <c r="D1050" s="58"/>
      <c r="E1050" s="1"/>
      <c r="F1050" s="3"/>
      <c r="G1050" s="1"/>
      <c r="H1050" s="1"/>
      <c r="I1050" s="1"/>
      <c r="J1050" s="1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</row>
    <row r="1051" spans="1:24" ht="12.75" customHeight="1">
      <c r="A1051" s="1"/>
      <c r="B1051" s="1"/>
      <c r="C1051" s="2"/>
      <c r="D1051" s="58"/>
      <c r="E1051" s="1"/>
      <c r="F1051" s="3"/>
      <c r="G1051" s="1"/>
      <c r="H1051" s="1"/>
      <c r="I1051" s="1"/>
      <c r="J1051" s="1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</row>
    <row r="1052" spans="1:24" ht="12.75" customHeight="1">
      <c r="A1052" s="1"/>
      <c r="B1052" s="1"/>
      <c r="C1052" s="2"/>
      <c r="D1052" s="58"/>
      <c r="E1052" s="1"/>
      <c r="F1052" s="3"/>
      <c r="G1052" s="1"/>
      <c r="H1052" s="1"/>
      <c r="I1052" s="1"/>
      <c r="J1052" s="1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</row>
    <row r="1053" spans="1:24" ht="12.75" customHeight="1">
      <c r="A1053" s="1"/>
      <c r="B1053" s="1"/>
      <c r="C1053" s="2"/>
      <c r="D1053" s="58"/>
      <c r="E1053" s="1"/>
      <c r="F1053" s="3"/>
      <c r="G1053" s="1"/>
      <c r="H1053" s="1"/>
      <c r="I1053" s="1"/>
      <c r="J1053" s="1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</row>
    <row r="1054" spans="1:24" ht="12.75" customHeight="1">
      <c r="A1054" s="1"/>
      <c r="B1054" s="1"/>
      <c r="C1054" s="2"/>
      <c r="D1054" s="58"/>
      <c r="E1054" s="1"/>
      <c r="F1054" s="3"/>
      <c r="G1054" s="1"/>
      <c r="H1054" s="1"/>
      <c r="I1054" s="1"/>
      <c r="J1054" s="1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</row>
    <row r="1055" spans="1:24" ht="12.75" customHeight="1">
      <c r="A1055" s="1"/>
      <c r="B1055" s="1"/>
      <c r="C1055" s="2"/>
      <c r="D1055" s="58"/>
      <c r="E1055" s="1"/>
      <c r="F1055" s="3"/>
      <c r="G1055" s="1"/>
      <c r="H1055" s="1"/>
      <c r="I1055" s="1"/>
      <c r="J1055" s="1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</row>
    <row r="1056" spans="1:24" ht="12.75" customHeight="1">
      <c r="A1056" s="1"/>
      <c r="B1056" s="1"/>
      <c r="C1056" s="2"/>
      <c r="D1056" s="58"/>
      <c r="E1056" s="1"/>
      <c r="F1056" s="3"/>
      <c r="G1056" s="1"/>
      <c r="H1056" s="1"/>
      <c r="I1056" s="1"/>
      <c r="J1056" s="1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</row>
    <row r="1057" spans="1:24" ht="12.75" customHeight="1">
      <c r="A1057" s="1"/>
      <c r="B1057" s="1"/>
      <c r="C1057" s="2"/>
      <c r="D1057" s="58"/>
      <c r="E1057" s="1"/>
      <c r="F1057" s="3"/>
      <c r="G1057" s="1"/>
      <c r="H1057" s="1"/>
      <c r="I1057" s="1"/>
      <c r="J1057" s="1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</row>
    <row r="1058" spans="1:24" ht="12.75" customHeight="1">
      <c r="A1058" s="1"/>
      <c r="B1058" s="1"/>
      <c r="C1058" s="2"/>
      <c r="D1058" s="58"/>
      <c r="E1058" s="1"/>
      <c r="F1058" s="3"/>
      <c r="G1058" s="1"/>
      <c r="H1058" s="1"/>
      <c r="I1058" s="1"/>
      <c r="J1058" s="1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</row>
    <row r="1059" spans="1:24" ht="12.75" customHeight="1">
      <c r="A1059" s="1"/>
      <c r="B1059" s="1"/>
      <c r="C1059" s="2"/>
      <c r="D1059" s="58"/>
      <c r="E1059" s="1"/>
      <c r="F1059" s="3"/>
      <c r="G1059" s="1"/>
      <c r="H1059" s="1"/>
      <c r="I1059" s="1"/>
      <c r="J1059" s="1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</row>
    <row r="1060" spans="1:24" ht="12.75" customHeight="1">
      <c r="A1060" s="1"/>
      <c r="B1060" s="1"/>
      <c r="C1060" s="2"/>
      <c r="D1060" s="58"/>
      <c r="E1060" s="1"/>
      <c r="F1060" s="3"/>
      <c r="G1060" s="1"/>
      <c r="H1060" s="1"/>
      <c r="I1060" s="1"/>
      <c r="J1060" s="1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</row>
    <row r="1061" spans="1:24" ht="12.75" customHeight="1">
      <c r="A1061" s="1"/>
      <c r="B1061" s="1"/>
      <c r="C1061" s="2"/>
      <c r="D1061" s="58"/>
      <c r="E1061" s="1"/>
      <c r="F1061" s="3"/>
      <c r="G1061" s="1"/>
      <c r="H1061" s="1"/>
      <c r="I1061" s="1"/>
      <c r="J1061" s="1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</row>
    <row r="1062" spans="1:24" ht="12.75" customHeight="1">
      <c r="A1062" s="1"/>
      <c r="B1062" s="1"/>
      <c r="C1062" s="2"/>
      <c r="D1062" s="58"/>
      <c r="E1062" s="1"/>
      <c r="F1062" s="3"/>
      <c r="G1062" s="1"/>
      <c r="H1062" s="1"/>
      <c r="I1062" s="1"/>
      <c r="J1062" s="1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</row>
    <row r="1063" spans="1:24" ht="12.75" customHeight="1">
      <c r="A1063" s="1"/>
      <c r="B1063" s="1"/>
      <c r="C1063" s="2"/>
      <c r="D1063" s="58"/>
      <c r="E1063" s="1"/>
      <c r="F1063" s="3"/>
      <c r="G1063" s="1"/>
      <c r="H1063" s="1"/>
      <c r="I1063" s="1"/>
      <c r="J1063" s="1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</row>
    <row r="1064" spans="1:24" ht="12.75" customHeight="1">
      <c r="A1064" s="1"/>
      <c r="B1064" s="1"/>
      <c r="C1064" s="2"/>
      <c r="D1064" s="58"/>
      <c r="E1064" s="1"/>
      <c r="F1064" s="3"/>
      <c r="G1064" s="1"/>
      <c r="H1064" s="1"/>
      <c r="I1064" s="1"/>
      <c r="J1064" s="1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</row>
    <row r="1065" spans="1:24" ht="12.75" customHeight="1">
      <c r="A1065" s="1"/>
      <c r="B1065" s="1"/>
      <c r="C1065" s="2"/>
      <c r="D1065" s="58"/>
      <c r="E1065" s="1"/>
      <c r="F1065" s="3"/>
      <c r="G1065" s="1"/>
      <c r="H1065" s="1"/>
      <c r="I1065" s="1"/>
      <c r="J1065" s="1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</row>
    <row r="1066" spans="1:24" ht="12.75" customHeight="1">
      <c r="A1066" s="1"/>
      <c r="B1066" s="1"/>
      <c r="C1066" s="2"/>
      <c r="D1066" s="58"/>
      <c r="E1066" s="1"/>
      <c r="F1066" s="3"/>
      <c r="G1066" s="1"/>
      <c r="H1066" s="1"/>
      <c r="I1066" s="1"/>
      <c r="J1066" s="1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</row>
    <row r="1067" spans="1:24" ht="12.75" customHeight="1">
      <c r="A1067" s="1"/>
      <c r="B1067" s="1"/>
      <c r="C1067" s="2"/>
      <c r="D1067" s="58"/>
      <c r="E1067" s="1"/>
      <c r="F1067" s="3"/>
      <c r="G1067" s="1"/>
      <c r="H1067" s="1"/>
      <c r="I1067" s="1"/>
      <c r="J1067" s="1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</row>
    <row r="1068" spans="1:24" ht="12.75" customHeight="1">
      <c r="A1068" s="1"/>
      <c r="B1068" s="1"/>
      <c r="C1068" s="2"/>
      <c r="D1068" s="58"/>
      <c r="E1068" s="1"/>
      <c r="F1068" s="3"/>
      <c r="G1068" s="1"/>
      <c r="H1068" s="1"/>
      <c r="I1068" s="1"/>
      <c r="J1068" s="1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</row>
    <row r="1069" spans="1:24" ht="12.75" customHeight="1">
      <c r="A1069" s="1"/>
      <c r="B1069" s="1"/>
      <c r="C1069" s="2"/>
      <c r="D1069" s="58"/>
      <c r="E1069" s="1"/>
      <c r="F1069" s="3"/>
      <c r="G1069" s="1"/>
      <c r="H1069" s="1"/>
      <c r="I1069" s="1"/>
      <c r="J1069" s="1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</row>
    <row r="1070" spans="1:24" ht="12.75" customHeight="1">
      <c r="A1070" s="1"/>
      <c r="B1070" s="1"/>
      <c r="C1070" s="2"/>
      <c r="D1070" s="58"/>
      <c r="E1070" s="1"/>
      <c r="F1070" s="3"/>
      <c r="G1070" s="1"/>
      <c r="H1070" s="1"/>
      <c r="I1070" s="1"/>
      <c r="J1070" s="1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</row>
    <row r="1071" spans="1:24" ht="12.75" customHeight="1">
      <c r="A1071" s="1"/>
      <c r="B1071" s="1"/>
      <c r="C1071" s="2"/>
      <c r="D1071" s="58"/>
      <c r="E1071" s="1"/>
      <c r="F1071" s="3"/>
      <c r="G1071" s="1"/>
      <c r="H1071" s="1"/>
      <c r="I1071" s="1"/>
      <c r="J1071" s="1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</row>
    <row r="1072" spans="1:24" ht="12.75" customHeight="1">
      <c r="A1072" s="1"/>
      <c r="B1072" s="1"/>
      <c r="C1072" s="2"/>
      <c r="D1072" s="58"/>
      <c r="E1072" s="1"/>
      <c r="F1072" s="3"/>
      <c r="G1072" s="1"/>
      <c r="H1072" s="1"/>
      <c r="I1072" s="1"/>
      <c r="J1072" s="1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</row>
    <row r="1073" spans="1:24" ht="12.75" customHeight="1">
      <c r="A1073" s="1"/>
      <c r="B1073" s="1"/>
      <c r="C1073" s="2"/>
      <c r="D1073" s="58"/>
      <c r="E1073" s="1"/>
      <c r="F1073" s="3"/>
      <c r="G1073" s="1"/>
      <c r="H1073" s="1"/>
      <c r="I1073" s="1"/>
      <c r="J1073" s="1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</row>
    <row r="1074" spans="1:24" ht="12.75" customHeight="1">
      <c r="A1074" s="1"/>
      <c r="B1074" s="1"/>
      <c r="C1074" s="2"/>
      <c r="D1074" s="58"/>
      <c r="E1074" s="1"/>
      <c r="F1074" s="3"/>
      <c r="G1074" s="1"/>
      <c r="H1074" s="1"/>
      <c r="I1074" s="1"/>
      <c r="J1074" s="1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</row>
    <row r="1075" spans="1:24" ht="12.75" customHeight="1">
      <c r="A1075" s="1"/>
      <c r="B1075" s="1"/>
      <c r="C1075" s="2"/>
      <c r="D1075" s="58"/>
      <c r="E1075" s="1"/>
      <c r="F1075" s="3"/>
      <c r="G1075" s="1"/>
      <c r="H1075" s="1"/>
      <c r="I1075" s="1"/>
      <c r="J1075" s="1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</row>
    <row r="1076" spans="1:24" ht="12.75" customHeight="1">
      <c r="A1076" s="1"/>
      <c r="B1076" s="1"/>
      <c r="C1076" s="2"/>
      <c r="D1076" s="58"/>
      <c r="E1076" s="1"/>
      <c r="F1076" s="3"/>
      <c r="G1076" s="1"/>
      <c r="H1076" s="1"/>
      <c r="I1076" s="1"/>
      <c r="J1076" s="1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</row>
    <row r="1077" spans="1:24" ht="12.75" customHeight="1">
      <c r="A1077" s="1"/>
      <c r="B1077" s="1"/>
      <c r="C1077" s="2"/>
      <c r="D1077" s="58"/>
      <c r="E1077" s="1"/>
      <c r="F1077" s="3"/>
      <c r="G1077" s="1"/>
      <c r="H1077" s="1"/>
      <c r="I1077" s="1"/>
      <c r="J1077" s="1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</row>
    <row r="1078" spans="1:24" ht="12.75" customHeight="1">
      <c r="A1078" s="1"/>
      <c r="B1078" s="1"/>
      <c r="C1078" s="2"/>
      <c r="D1078" s="58"/>
      <c r="E1078" s="1"/>
      <c r="F1078" s="3"/>
      <c r="G1078" s="1"/>
      <c r="H1078" s="1"/>
      <c r="I1078" s="1"/>
      <c r="J1078" s="1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</row>
    <row r="1079" spans="1:24" ht="12.75" customHeight="1">
      <c r="A1079" s="1"/>
      <c r="B1079" s="1"/>
      <c r="C1079" s="2"/>
      <c r="D1079" s="58"/>
      <c r="E1079" s="1"/>
      <c r="F1079" s="3"/>
      <c r="G1079" s="1"/>
      <c r="H1079" s="1"/>
      <c r="I1079" s="1"/>
      <c r="J1079" s="1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</row>
    <row r="1080" spans="1:24" ht="12.75" customHeight="1">
      <c r="A1080" s="1"/>
      <c r="B1080" s="1"/>
      <c r="C1080" s="2"/>
      <c r="D1080" s="58"/>
      <c r="E1080" s="1"/>
      <c r="F1080" s="3"/>
      <c r="G1080" s="1"/>
      <c r="H1080" s="1"/>
      <c r="I1080" s="1"/>
      <c r="J1080" s="1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</row>
    <row r="1081" spans="1:24" ht="12.75" customHeight="1">
      <c r="A1081" s="1"/>
      <c r="B1081" s="1"/>
      <c r="C1081" s="2"/>
      <c r="D1081" s="58"/>
      <c r="E1081" s="1"/>
      <c r="F1081" s="3"/>
      <c r="G1081" s="1"/>
      <c r="H1081" s="1"/>
      <c r="I1081" s="1"/>
      <c r="J1081" s="1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</row>
    <row r="1082" spans="1:24" ht="12.75" customHeight="1">
      <c r="A1082" s="1"/>
      <c r="B1082" s="1"/>
      <c r="C1082" s="2"/>
      <c r="D1082" s="58"/>
      <c r="E1082" s="1"/>
      <c r="F1082" s="3"/>
      <c r="G1082" s="1"/>
      <c r="H1082" s="1"/>
      <c r="I1082" s="1"/>
      <c r="J1082" s="1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</row>
    <row r="1083" spans="1:24" ht="12.75" customHeight="1">
      <c r="A1083" s="1"/>
      <c r="B1083" s="1"/>
      <c r="C1083" s="2"/>
      <c r="D1083" s="58"/>
      <c r="E1083" s="1"/>
      <c r="F1083" s="3"/>
      <c r="G1083" s="1"/>
      <c r="H1083" s="1"/>
      <c r="I1083" s="1"/>
      <c r="J1083" s="1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</row>
    <row r="1084" spans="1:24" ht="12.75" customHeight="1">
      <c r="A1084" s="1"/>
      <c r="B1084" s="1"/>
      <c r="C1084" s="2"/>
      <c r="D1084" s="58"/>
      <c r="E1084" s="1"/>
      <c r="F1084" s="3"/>
      <c r="G1084" s="1"/>
      <c r="H1084" s="1"/>
      <c r="I1084" s="1"/>
      <c r="J1084" s="1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</row>
    <row r="1085" spans="1:24" ht="12.75" customHeight="1">
      <c r="A1085" s="1"/>
      <c r="B1085" s="1"/>
      <c r="C1085" s="2"/>
      <c r="D1085" s="58"/>
      <c r="E1085" s="1"/>
      <c r="F1085" s="3"/>
      <c r="G1085" s="1"/>
      <c r="H1085" s="1"/>
      <c r="I1085" s="1"/>
      <c r="J1085" s="1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</row>
    <row r="1086" spans="1:24" ht="12.75" customHeight="1">
      <c r="A1086" s="1"/>
      <c r="B1086" s="1"/>
      <c r="C1086" s="2"/>
      <c r="D1086" s="58"/>
      <c r="E1086" s="1"/>
      <c r="F1086" s="3"/>
      <c r="G1086" s="1"/>
      <c r="H1086" s="1"/>
      <c r="I1086" s="1"/>
      <c r="J1086" s="1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</row>
    <row r="1087" spans="1:24" ht="12.75" customHeight="1">
      <c r="A1087" s="1"/>
      <c r="B1087" s="1"/>
      <c r="C1087" s="2"/>
      <c r="D1087" s="58"/>
      <c r="E1087" s="1"/>
      <c r="F1087" s="3"/>
      <c r="G1087" s="1"/>
      <c r="H1087" s="1"/>
      <c r="I1087" s="1"/>
      <c r="J1087" s="1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</row>
    <row r="1088" spans="1:24" ht="12.75" customHeight="1">
      <c r="A1088" s="1"/>
      <c r="B1088" s="1"/>
      <c r="C1088" s="2"/>
      <c r="D1088" s="58"/>
      <c r="E1088" s="1"/>
      <c r="F1088" s="3"/>
      <c r="G1088" s="1"/>
      <c r="H1088" s="1"/>
      <c r="I1088" s="1"/>
      <c r="J1088" s="1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</row>
    <row r="1089" spans="1:24" ht="12.75" customHeight="1">
      <c r="A1089" s="1"/>
      <c r="B1089" s="1"/>
      <c r="C1089" s="2"/>
      <c r="D1089" s="58"/>
      <c r="E1089" s="1"/>
      <c r="F1089" s="3"/>
      <c r="G1089" s="1"/>
      <c r="H1089" s="1"/>
      <c r="I1089" s="1"/>
      <c r="J1089" s="1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</row>
    <row r="1090" spans="1:24" ht="12.75" customHeight="1">
      <c r="A1090" s="1"/>
      <c r="B1090" s="1"/>
      <c r="C1090" s="2"/>
      <c r="D1090" s="58"/>
      <c r="E1090" s="1"/>
      <c r="F1090" s="3"/>
      <c r="G1090" s="1"/>
      <c r="H1090" s="1"/>
      <c r="I1090" s="1"/>
      <c r="J1090" s="1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</row>
    <row r="1091" spans="1:24" ht="12.75" customHeight="1">
      <c r="A1091" s="1"/>
      <c r="B1091" s="1"/>
      <c r="C1091" s="2"/>
      <c r="D1091" s="58"/>
      <c r="E1091" s="1"/>
      <c r="F1091" s="3"/>
      <c r="G1091" s="1"/>
      <c r="H1091" s="1"/>
      <c r="I1091" s="1"/>
      <c r="J1091" s="1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</row>
    <row r="1092" spans="1:24" ht="12.75" customHeight="1">
      <c r="A1092" s="1"/>
      <c r="B1092" s="1"/>
      <c r="C1092" s="2"/>
      <c r="D1092" s="58"/>
      <c r="E1092" s="1"/>
      <c r="F1092" s="3"/>
      <c r="G1092" s="1"/>
      <c r="H1092" s="1"/>
      <c r="I1092" s="1"/>
      <c r="J1092" s="1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</row>
    <row r="1093" spans="1:24" ht="12.75" customHeight="1">
      <c r="A1093" s="1"/>
      <c r="B1093" s="1"/>
      <c r="C1093" s="2"/>
      <c r="D1093" s="58"/>
      <c r="E1093" s="1"/>
      <c r="F1093" s="3"/>
      <c r="G1093" s="1"/>
      <c r="H1093" s="1"/>
      <c r="I1093" s="1"/>
      <c r="J1093" s="1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</row>
    <row r="1094" spans="1:24" ht="12.75" customHeight="1">
      <c r="A1094" s="1"/>
      <c r="B1094" s="1"/>
      <c r="C1094" s="2"/>
      <c r="D1094" s="58"/>
      <c r="E1094" s="1"/>
      <c r="F1094" s="3"/>
      <c r="G1094" s="1"/>
      <c r="H1094" s="1"/>
      <c r="I1094" s="1"/>
      <c r="J1094" s="1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</row>
    <row r="1095" spans="1:24" ht="12.75" customHeight="1">
      <c r="A1095" s="1"/>
      <c r="B1095" s="1"/>
      <c r="C1095" s="2"/>
      <c r="D1095" s="58"/>
      <c r="E1095" s="1"/>
      <c r="F1095" s="3"/>
      <c r="G1095" s="1"/>
      <c r="H1095" s="1"/>
      <c r="I1095" s="1"/>
      <c r="J1095" s="1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</row>
    <row r="1096" spans="1:24" ht="12.75" customHeight="1">
      <c r="A1096" s="1"/>
      <c r="B1096" s="1"/>
      <c r="C1096" s="2"/>
      <c r="D1096" s="58"/>
      <c r="E1096" s="1"/>
      <c r="F1096" s="3"/>
      <c r="G1096" s="1"/>
      <c r="H1096" s="1"/>
      <c r="I1096" s="1"/>
      <c r="J1096" s="1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</row>
    <row r="1097" spans="1:24" ht="12.75" customHeight="1">
      <c r="A1097" s="1"/>
      <c r="B1097" s="1"/>
      <c r="C1097" s="2"/>
      <c r="D1097" s="58"/>
      <c r="E1097" s="1"/>
      <c r="F1097" s="3"/>
      <c r="G1097" s="1"/>
      <c r="H1097" s="1"/>
      <c r="I1097" s="1"/>
      <c r="J1097" s="1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</row>
    <row r="1098" spans="1:24" ht="12.75" customHeight="1">
      <c r="A1098" s="1"/>
      <c r="B1098" s="1"/>
      <c r="C1098" s="2"/>
      <c r="D1098" s="58"/>
      <c r="E1098" s="1"/>
      <c r="F1098" s="3"/>
      <c r="G1098" s="1"/>
      <c r="H1098" s="1"/>
      <c r="I1098" s="1"/>
      <c r="J1098" s="1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</row>
    <row r="1099" spans="1:24" ht="12.75" customHeight="1">
      <c r="A1099" s="1"/>
      <c r="B1099" s="1"/>
      <c r="C1099" s="2"/>
      <c r="D1099" s="58"/>
      <c r="E1099" s="1"/>
      <c r="F1099" s="3"/>
      <c r="G1099" s="1"/>
      <c r="H1099" s="1"/>
      <c r="I1099" s="1"/>
      <c r="J1099" s="1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</row>
    <row r="1100" spans="1:24" ht="12.75" customHeight="1">
      <c r="A1100" s="1"/>
      <c r="B1100" s="1"/>
      <c r="C1100" s="2"/>
      <c r="D1100" s="58"/>
      <c r="E1100" s="1"/>
      <c r="F1100" s="3"/>
      <c r="G1100" s="1"/>
      <c r="H1100" s="1"/>
      <c r="I1100" s="1"/>
      <c r="J1100" s="1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</row>
    <row r="1101" spans="1:24" ht="12.75" customHeight="1">
      <c r="A1101" s="1"/>
      <c r="B1101" s="1"/>
      <c r="C1101" s="2"/>
      <c r="D1101" s="58"/>
      <c r="E1101" s="1"/>
      <c r="F1101" s="3"/>
      <c r="G1101" s="1"/>
      <c r="H1101" s="1"/>
      <c r="I1101" s="1"/>
      <c r="J1101" s="1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</row>
    <row r="1102" spans="1:24" ht="12.75" customHeight="1">
      <c r="A1102" s="1"/>
      <c r="B1102" s="1"/>
      <c r="C1102" s="2"/>
      <c r="D1102" s="58"/>
      <c r="E1102" s="1"/>
      <c r="F1102" s="3"/>
      <c r="G1102" s="1"/>
      <c r="H1102" s="1"/>
      <c r="I1102" s="1"/>
      <c r="J1102" s="1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</row>
    <row r="1103" spans="1:24" ht="12.75" customHeight="1">
      <c r="A1103" s="1"/>
      <c r="B1103" s="1"/>
      <c r="C1103" s="2"/>
      <c r="D1103" s="58"/>
      <c r="E1103" s="1"/>
      <c r="F1103" s="3"/>
      <c r="G1103" s="1"/>
      <c r="H1103" s="1"/>
      <c r="I1103" s="1"/>
      <c r="J1103" s="1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</row>
    <row r="1104" spans="1:24" ht="12.75" customHeight="1">
      <c r="A1104" s="1"/>
      <c r="B1104" s="1"/>
      <c r="C1104" s="2"/>
      <c r="D1104" s="58"/>
      <c r="E1104" s="1"/>
      <c r="F1104" s="3"/>
      <c r="G1104" s="1"/>
      <c r="H1104" s="1"/>
      <c r="I1104" s="1"/>
      <c r="J1104" s="1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</row>
    <row r="1105" spans="1:24" ht="12.75" customHeight="1">
      <c r="A1105" s="1"/>
      <c r="B1105" s="1"/>
      <c r="C1105" s="2"/>
      <c r="D1105" s="58"/>
      <c r="E1105" s="1"/>
      <c r="F1105" s="3"/>
      <c r="G1105" s="1"/>
      <c r="H1105" s="1"/>
      <c r="I1105" s="1"/>
      <c r="J1105" s="1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</row>
    <row r="1106" spans="1:24" ht="12.75" customHeight="1">
      <c r="A1106" s="1"/>
      <c r="B1106" s="1"/>
      <c r="C1106" s="2"/>
      <c r="D1106" s="58"/>
      <c r="E1106" s="1"/>
      <c r="F1106" s="3"/>
      <c r="G1106" s="1"/>
      <c r="H1106" s="1"/>
      <c r="I1106" s="1"/>
      <c r="J1106" s="1"/>
      <c r="K1106" s="3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</row>
    <row r="1107" spans="1:24" ht="12.75" customHeight="1">
      <c r="A1107" s="1"/>
      <c r="B1107" s="1"/>
      <c r="C1107" s="2"/>
      <c r="D1107" s="58"/>
      <c r="E1107" s="1"/>
      <c r="F1107" s="3"/>
      <c r="G1107" s="1"/>
      <c r="H1107" s="1"/>
      <c r="I1107" s="1"/>
      <c r="J1107" s="1"/>
      <c r="K1107" s="3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</row>
    <row r="1108" spans="1:24" ht="12.75" customHeight="1">
      <c r="A1108" s="1"/>
      <c r="B1108" s="1"/>
      <c r="C1108" s="2"/>
      <c r="D1108" s="58"/>
      <c r="E1108" s="1"/>
      <c r="F1108" s="3"/>
      <c r="G1108" s="1"/>
      <c r="H1108" s="1"/>
      <c r="I1108" s="1"/>
      <c r="J1108" s="1"/>
      <c r="K1108" s="3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</row>
    <row r="1109" spans="1:24" ht="12.75" customHeight="1">
      <c r="A1109" s="1"/>
      <c r="B1109" s="1"/>
      <c r="C1109" s="2"/>
      <c r="D1109" s="58"/>
      <c r="E1109" s="1"/>
      <c r="F1109" s="3"/>
      <c r="G1109" s="1"/>
      <c r="H1109" s="1"/>
      <c r="I1109" s="1"/>
      <c r="J1109" s="1"/>
      <c r="K1109" s="3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</row>
    <row r="1110" spans="1:24" ht="12.75" customHeight="1">
      <c r="A1110" s="1"/>
      <c r="B1110" s="1"/>
      <c r="C1110" s="2"/>
      <c r="D1110" s="58"/>
      <c r="E1110" s="1"/>
      <c r="F1110" s="3"/>
      <c r="G1110" s="1"/>
      <c r="H1110" s="1"/>
      <c r="I1110" s="1"/>
      <c r="J1110" s="1"/>
      <c r="K1110" s="3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</row>
    <row r="1111" spans="1:24" ht="12.75" customHeight="1">
      <c r="A1111" s="1"/>
      <c r="B1111" s="1"/>
      <c r="C1111" s="2"/>
      <c r="D1111" s="58"/>
      <c r="E1111" s="1"/>
      <c r="F1111" s="3"/>
      <c r="G1111" s="1"/>
      <c r="H1111" s="1"/>
      <c r="I1111" s="1"/>
      <c r="J1111" s="1"/>
      <c r="K1111" s="3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</row>
    <row r="1112" spans="1:24" ht="12.75" customHeight="1">
      <c r="A1112" s="1"/>
      <c r="B1112" s="1"/>
      <c r="C1112" s="2"/>
      <c r="D1112" s="58"/>
      <c r="E1112" s="1"/>
      <c r="F1112" s="3"/>
      <c r="G1112" s="1"/>
      <c r="H1112" s="1"/>
      <c r="I1112" s="1"/>
      <c r="J1112" s="1"/>
      <c r="K1112" s="3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</row>
    <row r="1113" spans="1:24" ht="12.75" customHeight="1">
      <c r="A1113" s="1"/>
      <c r="B1113" s="1"/>
      <c r="C1113" s="2"/>
      <c r="D1113" s="58"/>
      <c r="E1113" s="1"/>
      <c r="F1113" s="3"/>
      <c r="G1113" s="1"/>
      <c r="H1113" s="1"/>
      <c r="I1113" s="1"/>
      <c r="J1113" s="1"/>
      <c r="K1113" s="3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</row>
    <row r="1114" spans="1:24" ht="12.75" customHeight="1">
      <c r="A1114" s="1"/>
      <c r="B1114" s="1"/>
      <c r="C1114" s="2"/>
      <c r="D1114" s="58"/>
      <c r="E1114" s="1"/>
      <c r="F1114" s="3"/>
      <c r="G1114" s="1"/>
      <c r="H1114" s="1"/>
      <c r="I1114" s="1"/>
      <c r="J1114" s="1"/>
      <c r="K1114" s="3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</row>
    <row r="1115" spans="1:24" ht="12.75" customHeight="1">
      <c r="A1115" s="1"/>
      <c r="B1115" s="1"/>
      <c r="C1115" s="2"/>
      <c r="D1115" s="58"/>
      <c r="E1115" s="1"/>
      <c r="F1115" s="3"/>
      <c r="G1115" s="1"/>
      <c r="H1115" s="1"/>
      <c r="I1115" s="1"/>
      <c r="J1115" s="1"/>
      <c r="K1115" s="3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</row>
    <row r="1116" spans="1:24" ht="12.75" customHeight="1">
      <c r="A1116" s="1"/>
      <c r="B1116" s="1"/>
      <c r="C1116" s="2"/>
      <c r="D1116" s="58"/>
      <c r="E1116" s="1"/>
      <c r="F1116" s="3"/>
      <c r="G1116" s="1"/>
      <c r="H1116" s="1"/>
      <c r="I1116" s="1"/>
      <c r="J1116" s="1"/>
      <c r="K1116" s="3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</row>
    <row r="1117" spans="1:24" ht="12.75" customHeight="1">
      <c r="A1117" s="1"/>
      <c r="B1117" s="1"/>
      <c r="C1117" s="2"/>
      <c r="D1117" s="58"/>
      <c r="E1117" s="1"/>
      <c r="F1117" s="3"/>
      <c r="G1117" s="1"/>
      <c r="H1117" s="1"/>
      <c r="I1117" s="1"/>
      <c r="J1117" s="1"/>
      <c r="K1117" s="3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</row>
    <row r="1118" spans="1:24" ht="12.75" customHeight="1">
      <c r="A1118" s="1"/>
      <c r="B1118" s="1"/>
      <c r="C1118" s="2"/>
      <c r="D1118" s="58"/>
      <c r="E1118" s="1"/>
      <c r="F1118" s="3"/>
      <c r="G1118" s="1"/>
      <c r="H1118" s="1"/>
      <c r="I1118" s="1"/>
      <c r="J1118" s="1"/>
      <c r="K1118" s="3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</row>
    <row r="1119" spans="1:24" ht="12.75" customHeight="1">
      <c r="A1119" s="1"/>
      <c r="B1119" s="1"/>
      <c r="C1119" s="2"/>
      <c r="D1119" s="58"/>
      <c r="E1119" s="1"/>
      <c r="F1119" s="3"/>
      <c r="G1119" s="1"/>
      <c r="H1119" s="1"/>
      <c r="I1119" s="1"/>
      <c r="J1119" s="1"/>
      <c r="K1119" s="3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</row>
    <row r="1120" spans="1:24" ht="12.75" customHeight="1">
      <c r="A1120" s="1"/>
      <c r="B1120" s="1"/>
      <c r="C1120" s="2"/>
      <c r="D1120" s="58"/>
      <c r="E1120" s="1"/>
      <c r="F1120" s="3"/>
      <c r="G1120" s="1"/>
      <c r="H1120" s="1"/>
      <c r="I1120" s="1"/>
      <c r="J1120" s="1"/>
      <c r="K1120" s="3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</row>
    <row r="1121" spans="1:24" ht="12.75" customHeight="1">
      <c r="A1121" s="1"/>
      <c r="B1121" s="1"/>
      <c r="C1121" s="2"/>
      <c r="D1121" s="58"/>
      <c r="E1121" s="1"/>
      <c r="F1121" s="3"/>
      <c r="G1121" s="1"/>
      <c r="H1121" s="1"/>
      <c r="I1121" s="1"/>
      <c r="J1121" s="1"/>
      <c r="K1121" s="3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</row>
    <row r="1122" spans="1:24" ht="12.75" customHeight="1">
      <c r="A1122" s="1"/>
      <c r="B1122" s="1"/>
      <c r="C1122" s="2"/>
      <c r="D1122" s="58"/>
      <c r="E1122" s="1"/>
      <c r="F1122" s="3"/>
      <c r="G1122" s="1"/>
      <c r="H1122" s="1"/>
      <c r="I1122" s="1"/>
      <c r="J1122" s="1"/>
      <c r="K1122" s="3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</row>
    <row r="1123" spans="1:24" ht="12.75" customHeight="1">
      <c r="A1123" s="1"/>
      <c r="B1123" s="1"/>
      <c r="C1123" s="2"/>
      <c r="D1123" s="58"/>
      <c r="E1123" s="1"/>
      <c r="F1123" s="3"/>
      <c r="G1123" s="1"/>
      <c r="H1123" s="1"/>
      <c r="I1123" s="1"/>
      <c r="J1123" s="1"/>
      <c r="K1123" s="3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</row>
    <row r="1124" spans="1:24" ht="12.75" customHeight="1">
      <c r="A1124" s="1"/>
      <c r="B1124" s="1"/>
      <c r="C1124" s="2"/>
      <c r="D1124" s="58"/>
      <c r="E1124" s="1"/>
      <c r="F1124" s="3"/>
      <c r="G1124" s="1"/>
      <c r="H1124" s="1"/>
      <c r="I1124" s="1"/>
      <c r="J1124" s="1"/>
      <c r="K1124" s="3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</row>
    <row r="1125" spans="1:24" ht="12.75" customHeight="1">
      <c r="A1125" s="1"/>
      <c r="B1125" s="1"/>
      <c r="C1125" s="2"/>
      <c r="D1125" s="58"/>
      <c r="E1125" s="1"/>
      <c r="F1125" s="3"/>
      <c r="G1125" s="1"/>
      <c r="H1125" s="1"/>
      <c r="I1125" s="1"/>
      <c r="J1125" s="1"/>
      <c r="K1125" s="3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</row>
    <row r="1126" spans="1:24" ht="12.75" customHeight="1">
      <c r="A1126" s="1"/>
      <c r="B1126" s="1"/>
      <c r="C1126" s="2"/>
      <c r="D1126" s="58"/>
      <c r="E1126" s="1"/>
      <c r="F1126" s="3"/>
      <c r="G1126" s="1"/>
      <c r="H1126" s="1"/>
      <c r="I1126" s="1"/>
      <c r="J1126" s="1"/>
      <c r="K1126" s="3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</row>
    <row r="1127" spans="1:24" ht="12.75" customHeight="1">
      <c r="A1127" s="1"/>
      <c r="B1127" s="1"/>
      <c r="C1127" s="2"/>
      <c r="D1127" s="58"/>
      <c r="E1127" s="1"/>
      <c r="F1127" s="3"/>
      <c r="G1127" s="1"/>
      <c r="H1127" s="1"/>
      <c r="I1127" s="1"/>
      <c r="J1127" s="1"/>
      <c r="K1127" s="3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</row>
    <row r="1128" spans="1:24" ht="12.75" customHeight="1">
      <c r="A1128" s="1"/>
      <c r="B1128" s="1"/>
      <c r="C1128" s="2"/>
      <c r="D1128" s="58"/>
      <c r="E1128" s="1"/>
      <c r="F1128" s="3"/>
      <c r="G1128" s="1"/>
      <c r="H1128" s="1"/>
      <c r="I1128" s="1"/>
      <c r="J1128" s="1"/>
      <c r="K1128" s="3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</row>
    <row r="1129" spans="1:24" ht="12.75" customHeight="1">
      <c r="A1129" s="1"/>
      <c r="B1129" s="1"/>
      <c r="C1129" s="2"/>
      <c r="D1129" s="58"/>
      <c r="E1129" s="1"/>
      <c r="F1129" s="3"/>
      <c r="G1129" s="1"/>
      <c r="H1129" s="1"/>
      <c r="I1129" s="1"/>
      <c r="J1129" s="1"/>
      <c r="K1129" s="3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</row>
    <row r="1130" spans="1:24" ht="12.75" customHeight="1">
      <c r="A1130" s="1"/>
      <c r="B1130" s="1"/>
      <c r="C1130" s="2"/>
      <c r="D1130" s="58"/>
      <c r="E1130" s="1"/>
      <c r="F1130" s="3"/>
      <c r="G1130" s="1"/>
      <c r="H1130" s="1"/>
      <c r="I1130" s="1"/>
      <c r="J1130" s="1"/>
      <c r="K1130" s="3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</row>
    <row r="1131" spans="1:24" ht="12.75" customHeight="1">
      <c r="A1131" s="1"/>
      <c r="B1131" s="1"/>
      <c r="C1131" s="2"/>
      <c r="D1131" s="58"/>
      <c r="E1131" s="1"/>
      <c r="F1131" s="3"/>
      <c r="G1131" s="1"/>
      <c r="H1131" s="1"/>
      <c r="I1131" s="1"/>
      <c r="J1131" s="1"/>
      <c r="K1131" s="3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</row>
    <row r="1132" spans="1:24" ht="12.75" customHeight="1">
      <c r="A1132" s="1"/>
      <c r="B1132" s="1"/>
      <c r="C1132" s="2"/>
      <c r="D1132" s="58"/>
      <c r="E1132" s="1"/>
      <c r="F1132" s="3"/>
      <c r="G1132" s="1"/>
      <c r="H1132" s="1"/>
      <c r="I1132" s="1"/>
      <c r="J1132" s="1"/>
      <c r="K1132" s="3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</row>
    <row r="1133" spans="1:24" ht="12.75" customHeight="1">
      <c r="A1133" s="1"/>
      <c r="B1133" s="1"/>
      <c r="C1133" s="2"/>
      <c r="D1133" s="58"/>
      <c r="E1133" s="1"/>
      <c r="F1133" s="3"/>
      <c r="G1133" s="1"/>
      <c r="H1133" s="1"/>
      <c r="I1133" s="1"/>
      <c r="J1133" s="1"/>
      <c r="K1133" s="3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</row>
    <row r="1134" spans="1:24" ht="12.75" customHeight="1">
      <c r="A1134" s="1"/>
      <c r="B1134" s="1"/>
      <c r="C1134" s="2"/>
      <c r="D1134" s="58"/>
      <c r="E1134" s="1"/>
      <c r="F1134" s="3"/>
      <c r="G1134" s="1"/>
      <c r="H1134" s="1"/>
      <c r="I1134" s="1"/>
      <c r="J1134" s="1"/>
      <c r="K1134" s="3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</row>
    <row r="1135" spans="1:24" ht="12.75" customHeight="1">
      <c r="A1135" s="1"/>
      <c r="B1135" s="1"/>
      <c r="C1135" s="2"/>
      <c r="D1135" s="58"/>
      <c r="E1135" s="1"/>
      <c r="F1135" s="3"/>
      <c r="G1135" s="1"/>
      <c r="H1135" s="1"/>
      <c r="I1135" s="1"/>
      <c r="J1135" s="1"/>
      <c r="K1135" s="3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</row>
    <row r="1136" spans="1:24" ht="12.75" customHeight="1">
      <c r="A1136" s="1"/>
      <c r="B1136" s="1"/>
      <c r="C1136" s="2"/>
      <c r="D1136" s="58"/>
      <c r="E1136" s="1"/>
      <c r="F1136" s="3"/>
      <c r="G1136" s="1"/>
      <c r="H1136" s="1"/>
      <c r="I1136" s="1"/>
      <c r="J1136" s="1"/>
      <c r="K1136" s="3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</row>
    <row r="1137" spans="1:24" ht="12.75" customHeight="1">
      <c r="A1137" s="1"/>
      <c r="B1137" s="1"/>
      <c r="C1137" s="2"/>
      <c r="D1137" s="58"/>
      <c r="E1137" s="1"/>
      <c r="F1137" s="3"/>
      <c r="G1137" s="1"/>
      <c r="H1137" s="1"/>
      <c r="I1137" s="1"/>
      <c r="J1137" s="1"/>
      <c r="K1137" s="3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</row>
    <row r="1138" spans="1:24" ht="12.75" customHeight="1">
      <c r="A1138" s="1"/>
      <c r="B1138" s="1"/>
      <c r="C1138" s="2"/>
      <c r="D1138" s="58"/>
      <c r="E1138" s="1"/>
      <c r="F1138" s="3"/>
      <c r="G1138" s="1"/>
      <c r="H1138" s="1"/>
      <c r="I1138" s="1"/>
      <c r="J1138" s="1"/>
      <c r="K1138" s="3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</row>
    <row r="1139" spans="1:24" ht="12.75" customHeight="1">
      <c r="A1139" s="1"/>
      <c r="B1139" s="1"/>
      <c r="C1139" s="2"/>
      <c r="D1139" s="58"/>
      <c r="E1139" s="1"/>
      <c r="F1139" s="3"/>
      <c r="G1139" s="1"/>
      <c r="H1139" s="1"/>
      <c r="I1139" s="1"/>
      <c r="J1139" s="1"/>
      <c r="K1139" s="3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</row>
    <row r="1140" spans="1:24" ht="12.75" customHeight="1">
      <c r="A1140" s="1"/>
      <c r="B1140" s="1"/>
      <c r="C1140" s="2"/>
      <c r="D1140" s="58"/>
      <c r="E1140" s="1"/>
      <c r="F1140" s="3"/>
      <c r="G1140" s="1"/>
      <c r="H1140" s="1"/>
      <c r="I1140" s="1"/>
      <c r="J1140" s="1"/>
      <c r="K1140" s="3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</row>
    <row r="1141" spans="1:24" ht="12.75" customHeight="1">
      <c r="A1141" s="1"/>
      <c r="B1141" s="1"/>
      <c r="C1141" s="2"/>
      <c r="D1141" s="58"/>
      <c r="E1141" s="1"/>
      <c r="F1141" s="3"/>
      <c r="G1141" s="1"/>
      <c r="H1141" s="1"/>
      <c r="I1141" s="1"/>
      <c r="J1141" s="1"/>
      <c r="K1141" s="3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</row>
    <row r="1142" spans="1:24" ht="12.75" customHeight="1">
      <c r="A1142" s="1"/>
      <c r="B1142" s="1"/>
      <c r="C1142" s="2"/>
      <c r="D1142" s="58"/>
      <c r="E1142" s="1"/>
      <c r="F1142" s="3"/>
      <c r="G1142" s="1"/>
      <c r="H1142" s="1"/>
      <c r="I1142" s="1"/>
      <c r="J1142" s="1"/>
      <c r="K1142" s="3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</row>
    <row r="1143" spans="1:24" ht="12.75" customHeight="1">
      <c r="A1143" s="1"/>
      <c r="B1143" s="1"/>
      <c r="C1143" s="2"/>
      <c r="D1143" s="58"/>
      <c r="E1143" s="1"/>
      <c r="F1143" s="3"/>
      <c r="G1143" s="1"/>
      <c r="H1143" s="1"/>
      <c r="I1143" s="1"/>
      <c r="J1143" s="1"/>
      <c r="K1143" s="3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</row>
    <row r="1144" spans="1:24" ht="12.75" customHeight="1">
      <c r="A1144" s="1"/>
      <c r="B1144" s="1"/>
      <c r="C1144" s="2"/>
      <c r="D1144" s="58"/>
      <c r="E1144" s="1"/>
      <c r="F1144" s="3"/>
      <c r="G1144" s="1"/>
      <c r="H1144" s="1"/>
      <c r="I1144" s="1"/>
      <c r="J1144" s="1"/>
      <c r="K1144" s="3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</row>
    <row r="1145" spans="1:24" ht="12.75" customHeight="1">
      <c r="A1145" s="1"/>
      <c r="B1145" s="1"/>
      <c r="C1145" s="2"/>
      <c r="D1145" s="58"/>
      <c r="E1145" s="1"/>
      <c r="F1145" s="3"/>
      <c r="G1145" s="1"/>
      <c r="H1145" s="1"/>
      <c r="I1145" s="1"/>
      <c r="J1145" s="1"/>
      <c r="K1145" s="3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</row>
    <row r="1146" spans="1:24" ht="12.75" customHeight="1">
      <c r="A1146" s="1"/>
      <c r="B1146" s="1"/>
      <c r="C1146" s="2"/>
      <c r="D1146" s="58"/>
      <c r="E1146" s="1"/>
      <c r="F1146" s="3"/>
      <c r="G1146" s="1"/>
      <c r="H1146" s="1"/>
      <c r="I1146" s="1"/>
      <c r="J1146" s="1"/>
      <c r="K1146" s="3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</row>
    <row r="1147" spans="1:24" ht="12.75" customHeight="1">
      <c r="A1147" s="1"/>
      <c r="B1147" s="1"/>
      <c r="C1147" s="2"/>
      <c r="D1147" s="58"/>
      <c r="E1147" s="1"/>
      <c r="F1147" s="3"/>
      <c r="G1147" s="1"/>
      <c r="H1147" s="1"/>
      <c r="I1147" s="1"/>
      <c r="J1147" s="1"/>
      <c r="K1147" s="3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</row>
    <row r="1148" spans="1:24" ht="12.75" customHeight="1">
      <c r="A1148" s="1"/>
      <c r="B1148" s="1"/>
      <c r="C1148" s="2"/>
      <c r="D1148" s="58"/>
      <c r="E1148" s="1"/>
      <c r="F1148" s="3"/>
      <c r="G1148" s="1"/>
      <c r="H1148" s="1"/>
      <c r="I1148" s="1"/>
      <c r="J1148" s="1"/>
      <c r="K1148" s="3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</row>
    <row r="1149" spans="1:24" ht="12.75" customHeight="1">
      <c r="A1149" s="1"/>
      <c r="B1149" s="1"/>
      <c r="C1149" s="2"/>
      <c r="D1149" s="58"/>
      <c r="E1149" s="1"/>
      <c r="F1149" s="3"/>
      <c r="G1149" s="1"/>
      <c r="H1149" s="1"/>
      <c r="I1149" s="1"/>
      <c r="J1149" s="1"/>
      <c r="K1149" s="3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</row>
    <row r="1150" spans="1:24" ht="12.75" customHeight="1">
      <c r="A1150" s="1"/>
      <c r="B1150" s="1"/>
      <c r="C1150" s="2"/>
      <c r="D1150" s="58"/>
      <c r="E1150" s="1"/>
      <c r="F1150" s="3"/>
      <c r="G1150" s="1"/>
      <c r="H1150" s="1"/>
      <c r="I1150" s="1"/>
      <c r="J1150" s="1"/>
      <c r="K1150" s="3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</row>
    <row r="1151" spans="1:24" ht="12.75" customHeight="1">
      <c r="A1151" s="1"/>
      <c r="B1151" s="1"/>
      <c r="C1151" s="2"/>
      <c r="D1151" s="58"/>
      <c r="E1151" s="1"/>
      <c r="F1151" s="3"/>
      <c r="G1151" s="1"/>
      <c r="H1151" s="1"/>
      <c r="I1151" s="1"/>
      <c r="J1151" s="1"/>
      <c r="K1151" s="3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</row>
    <row r="1152" spans="1:24" ht="12.75" customHeight="1">
      <c r="A1152" s="1"/>
      <c r="B1152" s="1"/>
      <c r="C1152" s="2"/>
      <c r="D1152" s="58"/>
      <c r="E1152" s="1"/>
      <c r="F1152" s="3"/>
      <c r="G1152" s="1"/>
      <c r="H1152" s="1"/>
      <c r="I1152" s="1"/>
      <c r="J1152" s="1"/>
      <c r="K1152" s="3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</row>
    <row r="1153" spans="1:24" ht="12.75" customHeight="1">
      <c r="A1153" s="1"/>
      <c r="B1153" s="1"/>
      <c r="C1153" s="2"/>
      <c r="D1153" s="58"/>
      <c r="E1153" s="1"/>
      <c r="F1153" s="3"/>
      <c r="G1153" s="1"/>
      <c r="H1153" s="1"/>
      <c r="I1153" s="1"/>
      <c r="J1153" s="1"/>
      <c r="K1153" s="3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</row>
    <row r="1154" spans="1:24" ht="12.75" customHeight="1">
      <c r="A1154" s="1"/>
      <c r="B1154" s="1"/>
      <c r="C1154" s="2"/>
      <c r="D1154" s="58"/>
      <c r="E1154" s="1"/>
      <c r="F1154" s="3"/>
      <c r="G1154" s="1"/>
      <c r="H1154" s="1"/>
      <c r="I1154" s="1"/>
      <c r="J1154" s="1"/>
      <c r="K1154" s="3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</row>
    <row r="1155" spans="1:24" ht="12.75" customHeight="1">
      <c r="A1155" s="1"/>
      <c r="B1155" s="1"/>
      <c r="C1155" s="2"/>
      <c r="D1155" s="58"/>
      <c r="E1155" s="1"/>
      <c r="F1155" s="3"/>
      <c r="G1155" s="1"/>
      <c r="H1155" s="1"/>
      <c r="I1155" s="1"/>
      <c r="J1155" s="1"/>
      <c r="K1155" s="3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</row>
    <row r="1156" spans="1:24" ht="12.75" customHeight="1">
      <c r="A1156" s="1"/>
      <c r="B1156" s="1"/>
      <c r="C1156" s="2"/>
      <c r="D1156" s="58"/>
      <c r="E1156" s="1"/>
      <c r="F1156" s="3"/>
      <c r="G1156" s="1"/>
      <c r="H1156" s="1"/>
      <c r="I1156" s="1"/>
      <c r="J1156" s="1"/>
      <c r="K1156" s="3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</row>
    <row r="1157" spans="1:24" ht="12.75" customHeight="1">
      <c r="A1157" s="1"/>
      <c r="B1157" s="1"/>
      <c r="C1157" s="2"/>
      <c r="D1157" s="58"/>
      <c r="E1157" s="1"/>
      <c r="F1157" s="3"/>
      <c r="G1157" s="1"/>
      <c r="H1157" s="1"/>
      <c r="I1157" s="1"/>
      <c r="J1157" s="1"/>
      <c r="K1157" s="3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</row>
    <row r="1158" spans="1:24" ht="12.75" customHeight="1">
      <c r="A1158" s="1"/>
      <c r="B1158" s="1"/>
      <c r="C1158" s="2"/>
      <c r="D1158" s="58"/>
      <c r="E1158" s="1"/>
      <c r="F1158" s="3"/>
      <c r="G1158" s="1"/>
      <c r="H1158" s="1"/>
      <c r="I1158" s="1"/>
      <c r="J1158" s="1"/>
      <c r="K1158" s="3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</row>
    <row r="1159" spans="1:24" ht="12.75" customHeight="1">
      <c r="A1159" s="1"/>
      <c r="B1159" s="1"/>
      <c r="C1159" s="2"/>
      <c r="D1159" s="58"/>
      <c r="E1159" s="1"/>
      <c r="F1159" s="3"/>
      <c r="G1159" s="1"/>
      <c r="H1159" s="1"/>
      <c r="I1159" s="1"/>
      <c r="J1159" s="1"/>
      <c r="K1159" s="3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</row>
    <row r="1160" spans="1:24" ht="12.75" customHeight="1">
      <c r="A1160" s="1"/>
      <c r="B1160" s="1"/>
      <c r="C1160" s="2"/>
      <c r="D1160" s="58"/>
      <c r="E1160" s="1"/>
      <c r="F1160" s="3"/>
      <c r="G1160" s="1"/>
      <c r="H1160" s="1"/>
      <c r="I1160" s="1"/>
      <c r="J1160" s="1"/>
      <c r="K1160" s="3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</row>
    <row r="1161" spans="1:24" ht="12.75" customHeight="1">
      <c r="A1161" s="1"/>
      <c r="B1161" s="1"/>
      <c r="C1161" s="2"/>
      <c r="D1161" s="58"/>
      <c r="E1161" s="1"/>
      <c r="F1161" s="3"/>
      <c r="G1161" s="1"/>
      <c r="H1161" s="1"/>
      <c r="I1161" s="1"/>
      <c r="J1161" s="1"/>
      <c r="K1161" s="3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</row>
    <row r="1162" spans="1:24" ht="12.75" customHeight="1">
      <c r="A1162" s="1"/>
      <c r="B1162" s="1"/>
      <c r="C1162" s="2"/>
      <c r="D1162" s="58"/>
      <c r="E1162" s="1"/>
      <c r="F1162" s="3"/>
      <c r="G1162" s="1"/>
      <c r="H1162" s="1"/>
      <c r="I1162" s="1"/>
      <c r="J1162" s="1"/>
      <c r="K1162" s="3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</row>
    <row r="1163" spans="1:24" ht="12.75" customHeight="1">
      <c r="A1163" s="1"/>
      <c r="B1163" s="1"/>
      <c r="C1163" s="2"/>
      <c r="D1163" s="58"/>
      <c r="E1163" s="1"/>
      <c r="F1163" s="3"/>
      <c r="G1163" s="1"/>
      <c r="H1163" s="1"/>
      <c r="I1163" s="1"/>
      <c r="J1163" s="1"/>
      <c r="K1163" s="3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</row>
    <row r="1164" spans="1:24" ht="12.75" customHeight="1">
      <c r="A1164" s="1"/>
      <c r="B1164" s="1"/>
      <c r="C1164" s="2"/>
      <c r="D1164" s="58"/>
      <c r="E1164" s="1"/>
      <c r="F1164" s="3"/>
      <c r="G1164" s="1"/>
      <c r="H1164" s="1"/>
      <c r="I1164" s="1"/>
      <c r="J1164" s="1"/>
      <c r="K1164" s="3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</row>
    <row r="1165" spans="1:24" ht="12.75" customHeight="1">
      <c r="A1165" s="1"/>
      <c r="B1165" s="1"/>
      <c r="C1165" s="2"/>
      <c r="D1165" s="58"/>
      <c r="E1165" s="1"/>
      <c r="F1165" s="3"/>
      <c r="G1165" s="1"/>
      <c r="H1165" s="1"/>
      <c r="I1165" s="1"/>
      <c r="J1165" s="1"/>
      <c r="K1165" s="3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</row>
    <row r="1166" spans="1:24" ht="12.75" customHeight="1">
      <c r="A1166" s="1"/>
      <c r="B1166" s="1"/>
      <c r="C1166" s="2"/>
      <c r="D1166" s="58"/>
      <c r="E1166" s="1"/>
      <c r="F1166" s="3"/>
      <c r="G1166" s="1"/>
      <c r="H1166" s="1"/>
      <c r="I1166" s="1"/>
      <c r="J1166" s="1"/>
      <c r="K1166" s="3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</row>
    <row r="1167" spans="1:24" ht="12.75" customHeight="1">
      <c r="A1167" s="1"/>
      <c r="B1167" s="1"/>
      <c r="C1167" s="2"/>
      <c r="D1167" s="58"/>
      <c r="E1167" s="1"/>
      <c r="F1167" s="3"/>
      <c r="G1167" s="1"/>
      <c r="H1167" s="1"/>
      <c r="I1167" s="1"/>
      <c r="J1167" s="1"/>
      <c r="K1167" s="3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</row>
    <row r="1168" spans="1:24" ht="12.75" customHeight="1">
      <c r="A1168" s="1"/>
      <c r="B1168" s="1"/>
      <c r="C1168" s="2"/>
      <c r="D1168" s="58"/>
      <c r="E1168" s="1"/>
      <c r="F1168" s="3"/>
      <c r="G1168" s="1"/>
      <c r="H1168" s="1"/>
      <c r="I1168" s="1"/>
      <c r="J1168" s="1"/>
      <c r="K1168" s="3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</row>
    <row r="1169" spans="1:24" ht="12.75" customHeight="1">
      <c r="A1169" s="1"/>
      <c r="B1169" s="1"/>
      <c r="C1169" s="2"/>
      <c r="D1169" s="58"/>
      <c r="E1169" s="1"/>
      <c r="F1169" s="3"/>
      <c r="G1169" s="1"/>
      <c r="H1169" s="1"/>
      <c r="I1169" s="1"/>
      <c r="J1169" s="1"/>
      <c r="K1169" s="3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</row>
    <row r="1170" spans="1:24" ht="12.75" customHeight="1">
      <c r="A1170" s="1"/>
      <c r="B1170" s="1"/>
      <c r="C1170" s="2"/>
      <c r="D1170" s="58"/>
      <c r="E1170" s="1"/>
      <c r="F1170" s="3"/>
      <c r="G1170" s="1"/>
      <c r="H1170" s="1"/>
      <c r="I1170" s="1"/>
      <c r="J1170" s="1"/>
      <c r="K1170" s="3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</row>
    <row r="1171" spans="1:24" ht="12.75" customHeight="1">
      <c r="A1171" s="1"/>
      <c r="B1171" s="1"/>
      <c r="C1171" s="2"/>
      <c r="D1171" s="58"/>
      <c r="E1171" s="1"/>
      <c r="F1171" s="3"/>
      <c r="G1171" s="1"/>
      <c r="H1171" s="1"/>
      <c r="I1171" s="1"/>
      <c r="J1171" s="1"/>
      <c r="K1171" s="3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</row>
    <row r="1172" spans="1:24" ht="12.75" customHeight="1">
      <c r="A1172" s="1"/>
      <c r="B1172" s="1"/>
      <c r="C1172" s="2"/>
      <c r="D1172" s="58"/>
      <c r="E1172" s="1"/>
      <c r="F1172" s="3"/>
      <c r="G1172" s="1"/>
      <c r="H1172" s="1"/>
      <c r="I1172" s="1"/>
      <c r="J1172" s="1"/>
      <c r="K1172" s="3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</row>
    <row r="1173" spans="1:24" ht="12.75" customHeight="1">
      <c r="A1173" s="1"/>
      <c r="B1173" s="1"/>
      <c r="C1173" s="2"/>
      <c r="D1173" s="58"/>
      <c r="E1173" s="1"/>
      <c r="F1173" s="3"/>
      <c r="G1173" s="1"/>
      <c r="H1173" s="1"/>
      <c r="I1173" s="1"/>
      <c r="J1173" s="1"/>
      <c r="K1173" s="3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</row>
    <row r="1174" spans="1:24" ht="12.75" customHeight="1">
      <c r="A1174" s="1"/>
      <c r="B1174" s="1"/>
      <c r="C1174" s="2"/>
      <c r="D1174" s="58"/>
      <c r="E1174" s="1"/>
      <c r="F1174" s="3"/>
      <c r="G1174" s="1"/>
      <c r="H1174" s="1"/>
      <c r="I1174" s="1"/>
      <c r="J1174" s="1"/>
      <c r="K1174" s="3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</row>
    <row r="1175" spans="1:24" ht="12.75" customHeight="1">
      <c r="A1175" s="1"/>
      <c r="B1175" s="1"/>
      <c r="C1175" s="2"/>
      <c r="D1175" s="58"/>
      <c r="E1175" s="1"/>
      <c r="F1175" s="3"/>
      <c r="G1175" s="1"/>
      <c r="H1175" s="1"/>
      <c r="I1175" s="1"/>
      <c r="J1175" s="1"/>
      <c r="K1175" s="3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</row>
    <row r="1176" spans="1:24" ht="12.75" customHeight="1">
      <c r="A1176" s="1"/>
      <c r="B1176" s="1"/>
      <c r="C1176" s="2"/>
      <c r="D1176" s="58"/>
      <c r="E1176" s="1"/>
      <c r="F1176" s="3"/>
      <c r="G1176" s="1"/>
      <c r="H1176" s="1"/>
      <c r="I1176" s="1"/>
      <c r="J1176" s="1"/>
      <c r="K1176" s="3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</row>
    <row r="1177" spans="1:24" ht="12.75" customHeight="1">
      <c r="A1177" s="1"/>
      <c r="B1177" s="1"/>
      <c r="C1177" s="2"/>
      <c r="D1177" s="58"/>
      <c r="E1177" s="1"/>
      <c r="F1177" s="3"/>
      <c r="G1177" s="1"/>
      <c r="H1177" s="1"/>
      <c r="I1177" s="1"/>
      <c r="J1177" s="1"/>
      <c r="K1177" s="3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</row>
    <row r="1178" spans="1:24" ht="12.75" customHeight="1">
      <c r="A1178" s="1"/>
      <c r="B1178" s="1"/>
      <c r="C1178" s="2"/>
      <c r="D1178" s="58"/>
      <c r="E1178" s="1"/>
      <c r="F1178" s="3"/>
      <c r="G1178" s="1"/>
      <c r="H1178" s="1"/>
      <c r="I1178" s="1"/>
      <c r="J1178" s="1"/>
      <c r="K1178" s="3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</row>
    <row r="1179" spans="1:24" ht="12.75" customHeight="1">
      <c r="A1179" s="1"/>
      <c r="B1179" s="1"/>
      <c r="C1179" s="2"/>
      <c r="D1179" s="58"/>
      <c r="E1179" s="1"/>
      <c r="F1179" s="3"/>
      <c r="G1179" s="1"/>
      <c r="H1179" s="1"/>
      <c r="I1179" s="1"/>
      <c r="J1179" s="1"/>
      <c r="K1179" s="3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</row>
    <row r="1180" spans="1:24" ht="12.75" customHeight="1">
      <c r="A1180" s="1"/>
      <c r="B1180" s="1"/>
      <c r="C1180" s="2"/>
      <c r="D1180" s="58"/>
      <c r="E1180" s="1"/>
      <c r="F1180" s="3"/>
      <c r="G1180" s="1"/>
      <c r="H1180" s="1"/>
      <c r="I1180" s="1"/>
      <c r="J1180" s="1"/>
      <c r="K1180" s="3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</row>
    <row r="1181" spans="1:24" ht="12.75" customHeight="1">
      <c r="A1181" s="1"/>
      <c r="B1181" s="1"/>
      <c r="C1181" s="2"/>
      <c r="D1181" s="58"/>
      <c r="E1181" s="1"/>
      <c r="F1181" s="3"/>
      <c r="G1181" s="1"/>
      <c r="H1181" s="1"/>
      <c r="I1181" s="1"/>
      <c r="J1181" s="1"/>
      <c r="K1181" s="3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</row>
    <row r="1182" spans="1:24" ht="12.75" customHeight="1">
      <c r="A1182" s="1"/>
      <c r="B1182" s="1"/>
      <c r="C1182" s="2"/>
      <c r="D1182" s="58"/>
      <c r="E1182" s="1"/>
      <c r="F1182" s="3"/>
      <c r="G1182" s="1"/>
      <c r="H1182" s="1"/>
      <c r="I1182" s="1"/>
      <c r="J1182" s="1"/>
      <c r="K1182" s="3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</row>
    <row r="1183" spans="1:24" ht="12.75" customHeight="1">
      <c r="A1183" s="1"/>
      <c r="B1183" s="1"/>
      <c r="C1183" s="2"/>
      <c r="D1183" s="58"/>
      <c r="E1183" s="1"/>
      <c r="F1183" s="3"/>
      <c r="G1183" s="1"/>
      <c r="H1183" s="1"/>
      <c r="I1183" s="1"/>
      <c r="J1183" s="1"/>
      <c r="K1183" s="3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</row>
    <row r="1184" spans="1:24" ht="12.75" customHeight="1">
      <c r="A1184" s="1"/>
      <c r="B1184" s="1"/>
      <c r="C1184" s="2"/>
      <c r="D1184" s="58"/>
      <c r="E1184" s="1"/>
      <c r="F1184" s="3"/>
      <c r="G1184" s="1"/>
      <c r="H1184" s="1"/>
      <c r="I1184" s="1"/>
      <c r="J1184" s="1"/>
      <c r="K1184" s="3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</row>
    <row r="1185" spans="1:24" ht="12.75" customHeight="1">
      <c r="A1185" s="1"/>
      <c r="B1185" s="1"/>
      <c r="C1185" s="2"/>
      <c r="D1185" s="58"/>
      <c r="E1185" s="1"/>
      <c r="F1185" s="3"/>
      <c r="G1185" s="1"/>
      <c r="H1185" s="1"/>
      <c r="I1185" s="1"/>
      <c r="J1185" s="1"/>
      <c r="K1185" s="3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</row>
    <row r="1186" spans="1:24" ht="12.75" customHeight="1">
      <c r="A1186" s="1"/>
      <c r="B1186" s="1"/>
      <c r="C1186" s="2"/>
      <c r="D1186" s="58"/>
      <c r="E1186" s="1"/>
      <c r="F1186" s="3"/>
      <c r="G1186" s="1"/>
      <c r="H1186" s="1"/>
      <c r="I1186" s="1"/>
      <c r="J1186" s="1"/>
      <c r="K1186" s="3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</row>
    <row r="1187" spans="1:24" ht="12.75" customHeight="1">
      <c r="A1187" s="1"/>
      <c r="B1187" s="1"/>
      <c r="C1187" s="2"/>
      <c r="D1187" s="58"/>
      <c r="E1187" s="1"/>
      <c r="F1187" s="3"/>
      <c r="G1187" s="1"/>
      <c r="H1187" s="1"/>
      <c r="I1187" s="1"/>
      <c r="J1187" s="1"/>
      <c r="K1187" s="3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</row>
    <row r="1188" spans="1:24" ht="12.75" customHeight="1">
      <c r="A1188" s="1"/>
      <c r="B1188" s="1"/>
      <c r="C1188" s="2"/>
      <c r="D1188" s="58"/>
      <c r="E1188" s="1"/>
      <c r="F1188" s="3"/>
      <c r="G1188" s="1"/>
      <c r="H1188" s="1"/>
      <c r="I1188" s="1"/>
      <c r="J1188" s="1"/>
      <c r="K1188" s="3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</row>
    <row r="1189" spans="1:24" ht="12.75" customHeight="1">
      <c r="A1189" s="1"/>
      <c r="B1189" s="1"/>
      <c r="C1189" s="2"/>
      <c r="D1189" s="58"/>
      <c r="E1189" s="1"/>
      <c r="F1189" s="3"/>
      <c r="G1189" s="1"/>
      <c r="H1189" s="1"/>
      <c r="I1189" s="1"/>
      <c r="J1189" s="1"/>
      <c r="K1189" s="3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</row>
    <row r="1190" spans="1:24" ht="12.75" customHeight="1">
      <c r="A1190" s="1"/>
      <c r="B1190" s="1"/>
      <c r="C1190" s="2"/>
      <c r="D1190" s="58"/>
      <c r="E1190" s="1"/>
      <c r="F1190" s="3"/>
      <c r="G1190" s="1"/>
      <c r="H1190" s="1"/>
      <c r="I1190" s="1"/>
      <c r="J1190" s="1"/>
      <c r="K1190" s="3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</row>
    <row r="1191" spans="1:24" ht="12.75" customHeight="1">
      <c r="A1191" s="1"/>
      <c r="B1191" s="1"/>
      <c r="C1191" s="2"/>
      <c r="D1191" s="58"/>
      <c r="E1191" s="1"/>
      <c r="F1191" s="3"/>
      <c r="G1191" s="1"/>
      <c r="H1191" s="1"/>
      <c r="I1191" s="1"/>
      <c r="J1191" s="1"/>
      <c r="K1191" s="3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</row>
    <row r="1192" spans="1:24" ht="12.75" customHeight="1">
      <c r="A1192" s="1"/>
      <c r="B1192" s="1"/>
      <c r="C1192" s="2"/>
      <c r="D1192" s="58"/>
      <c r="E1192" s="1"/>
      <c r="F1192" s="3"/>
      <c r="G1192" s="1"/>
      <c r="H1192" s="1"/>
      <c r="I1192" s="1"/>
      <c r="J1192" s="1"/>
      <c r="K1192" s="3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</row>
    <row r="1193" spans="1:24" ht="12.75" customHeight="1">
      <c r="A1193" s="1"/>
      <c r="B1193" s="1"/>
      <c r="C1193" s="2"/>
      <c r="D1193" s="58"/>
      <c r="E1193" s="1"/>
      <c r="F1193" s="3"/>
      <c r="G1193" s="1"/>
      <c r="H1193" s="1"/>
      <c r="I1193" s="1"/>
      <c r="J1193" s="1"/>
      <c r="K1193" s="3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</row>
    <row r="1194" spans="1:24" ht="12.75" customHeight="1">
      <c r="A1194" s="1"/>
      <c r="B1194" s="1"/>
      <c r="C1194" s="2"/>
      <c r="D1194" s="58"/>
      <c r="E1194" s="1"/>
      <c r="F1194" s="3"/>
      <c r="G1194" s="1"/>
      <c r="H1194" s="1"/>
      <c r="I1194" s="1"/>
      <c r="J1194" s="1"/>
      <c r="K1194" s="3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</row>
    <row r="1195" spans="1:24" ht="12.75" customHeight="1">
      <c r="A1195" s="1"/>
      <c r="B1195" s="1"/>
      <c r="C1195" s="2"/>
      <c r="D1195" s="58"/>
      <c r="E1195" s="1"/>
      <c r="F1195" s="3"/>
      <c r="G1195" s="1"/>
      <c r="H1195" s="1"/>
      <c r="I1195" s="1"/>
      <c r="J1195" s="1"/>
      <c r="K1195" s="3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</row>
    <row r="1196" spans="1:24" ht="12.75" customHeight="1">
      <c r="A1196" s="1"/>
      <c r="B1196" s="1"/>
      <c r="C1196" s="2"/>
      <c r="D1196" s="58"/>
      <c r="E1196" s="1"/>
      <c r="F1196" s="3"/>
      <c r="G1196" s="1"/>
      <c r="H1196" s="1"/>
      <c r="I1196" s="1"/>
      <c r="J1196" s="1"/>
      <c r="K1196" s="3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</row>
    <row r="1197" spans="1:24" ht="12.75" customHeight="1">
      <c r="A1197" s="1"/>
      <c r="B1197" s="1"/>
      <c r="C1197" s="2"/>
      <c r="D1197" s="58"/>
      <c r="E1197" s="1"/>
      <c r="F1197" s="3"/>
      <c r="G1197" s="1"/>
      <c r="H1197" s="1"/>
      <c r="I1197" s="1"/>
      <c r="J1197" s="1"/>
      <c r="K1197" s="3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</row>
    <row r="1198" spans="1:24" ht="12.75" customHeight="1">
      <c r="A1198" s="1"/>
      <c r="B1198" s="1"/>
      <c r="C1198" s="2"/>
      <c r="D1198" s="58"/>
      <c r="E1198" s="1"/>
      <c r="F1198" s="3"/>
      <c r="G1198" s="1"/>
      <c r="H1198" s="1"/>
      <c r="I1198" s="1"/>
      <c r="J1198" s="1"/>
      <c r="K1198" s="3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</row>
    <row r="1199" spans="1:24" ht="12.75" customHeight="1">
      <c r="A1199" s="1"/>
      <c r="B1199" s="1"/>
      <c r="C1199" s="2"/>
      <c r="D1199" s="58"/>
      <c r="E1199" s="1"/>
      <c r="F1199" s="3"/>
      <c r="G1199" s="1"/>
      <c r="H1199" s="1"/>
      <c r="I1199" s="1"/>
      <c r="J1199" s="1"/>
      <c r="K1199" s="3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</row>
    <row r="1200" spans="1:24" ht="12.75" customHeight="1">
      <c r="A1200" s="1"/>
      <c r="B1200" s="1"/>
      <c r="C1200" s="2"/>
      <c r="D1200" s="58"/>
      <c r="E1200" s="1"/>
      <c r="F1200" s="3"/>
      <c r="G1200" s="1"/>
      <c r="H1200" s="1"/>
      <c r="I1200" s="1"/>
      <c r="J1200" s="1"/>
      <c r="K1200" s="3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</row>
    <row r="1201" spans="1:24" ht="12.75" customHeight="1">
      <c r="A1201" s="1"/>
      <c r="B1201" s="1"/>
      <c r="C1201" s="2"/>
      <c r="D1201" s="58"/>
      <c r="E1201" s="1"/>
      <c r="F1201" s="3"/>
      <c r="G1201" s="1"/>
      <c r="H1201" s="1"/>
      <c r="I1201" s="1"/>
      <c r="J1201" s="1"/>
      <c r="K1201" s="3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</row>
    <row r="1202" spans="1:24" ht="12.75" customHeight="1">
      <c r="A1202" s="1"/>
      <c r="B1202" s="1"/>
      <c r="C1202" s="2"/>
      <c r="D1202" s="58"/>
      <c r="E1202" s="1"/>
      <c r="F1202" s="3"/>
      <c r="G1202" s="1"/>
      <c r="H1202" s="1"/>
      <c r="I1202" s="1"/>
      <c r="J1202" s="1"/>
      <c r="K1202" s="3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</row>
    <row r="1203" spans="1:24" ht="12.75" customHeight="1">
      <c r="A1203" s="1"/>
      <c r="B1203" s="1"/>
      <c r="C1203" s="2"/>
      <c r="D1203" s="58"/>
      <c r="E1203" s="1"/>
      <c r="F1203" s="3"/>
      <c r="G1203" s="1"/>
      <c r="H1203" s="1"/>
      <c r="I1203" s="1"/>
      <c r="J1203" s="1"/>
      <c r="K1203" s="3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</row>
    <row r="1204" spans="1:24" ht="12.75" customHeight="1">
      <c r="A1204" s="1"/>
      <c r="B1204" s="1"/>
      <c r="C1204" s="2"/>
      <c r="D1204" s="58"/>
      <c r="E1204" s="1"/>
      <c r="F1204" s="3"/>
      <c r="G1204" s="1"/>
      <c r="H1204" s="1"/>
      <c r="I1204" s="1"/>
      <c r="J1204" s="1"/>
      <c r="K1204" s="3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</row>
    <row r="1205" spans="1:24" ht="12.75" customHeight="1">
      <c r="A1205" s="1"/>
      <c r="B1205" s="1"/>
      <c r="C1205" s="2"/>
      <c r="D1205" s="58"/>
      <c r="E1205" s="1"/>
      <c r="F1205" s="3"/>
      <c r="G1205" s="1"/>
      <c r="H1205" s="1"/>
      <c r="I1205" s="1"/>
      <c r="J1205" s="1"/>
      <c r="K1205" s="3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</row>
    <row r="1206" spans="1:24" ht="12.75" customHeight="1">
      <c r="A1206" s="1"/>
      <c r="B1206" s="1"/>
      <c r="C1206" s="2"/>
      <c r="D1206" s="58"/>
      <c r="E1206" s="1"/>
      <c r="F1206" s="3"/>
      <c r="G1206" s="1"/>
      <c r="H1206" s="1"/>
      <c r="I1206" s="1"/>
      <c r="J1206" s="1"/>
      <c r="K1206" s="3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</row>
    <row r="1207" spans="1:24" ht="12.75" customHeight="1">
      <c r="A1207" s="1"/>
      <c r="B1207" s="1"/>
      <c r="C1207" s="2"/>
      <c r="D1207" s="58"/>
      <c r="E1207" s="1"/>
      <c r="F1207" s="3"/>
      <c r="G1207" s="1"/>
      <c r="H1207" s="1"/>
      <c r="I1207" s="1"/>
      <c r="J1207" s="1"/>
      <c r="K1207" s="3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</row>
    <row r="1208" spans="1:24" ht="12.75" customHeight="1">
      <c r="A1208" s="1"/>
      <c r="B1208" s="1"/>
      <c r="C1208" s="2"/>
      <c r="D1208" s="58"/>
      <c r="E1208" s="1"/>
      <c r="F1208" s="3"/>
      <c r="G1208" s="1"/>
      <c r="H1208" s="1"/>
      <c r="I1208" s="1"/>
      <c r="J1208" s="1"/>
      <c r="K1208" s="3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</row>
    <row r="1209" spans="1:24" ht="12.75" customHeight="1">
      <c r="A1209" s="1"/>
      <c r="B1209" s="1"/>
      <c r="C1209" s="2"/>
      <c r="D1209" s="58"/>
      <c r="E1209" s="1"/>
      <c r="F1209" s="3"/>
      <c r="G1209" s="1"/>
      <c r="H1209" s="1"/>
      <c r="I1209" s="1"/>
      <c r="J1209" s="1"/>
      <c r="K1209" s="3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</row>
    <row r="1210" spans="1:24" ht="12.75" customHeight="1">
      <c r="A1210" s="1"/>
      <c r="B1210" s="1"/>
      <c r="C1210" s="2"/>
      <c r="D1210" s="58"/>
      <c r="E1210" s="1"/>
      <c r="F1210" s="3"/>
      <c r="G1210" s="1"/>
      <c r="H1210" s="1"/>
      <c r="I1210" s="1"/>
      <c r="J1210" s="1"/>
      <c r="K1210" s="3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</row>
    <row r="1211" spans="1:24" ht="12.75" customHeight="1">
      <c r="A1211" s="1"/>
      <c r="B1211" s="1"/>
      <c r="C1211" s="2"/>
      <c r="D1211" s="58"/>
      <c r="E1211" s="1"/>
      <c r="F1211" s="3"/>
      <c r="G1211" s="1"/>
      <c r="H1211" s="1"/>
      <c r="I1211" s="1"/>
      <c r="J1211" s="1"/>
      <c r="K1211" s="3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</row>
    <row r="1212" spans="1:24" ht="12.75" customHeight="1">
      <c r="A1212" s="1"/>
      <c r="B1212" s="1"/>
      <c r="C1212" s="2"/>
      <c r="D1212" s="58"/>
      <c r="E1212" s="1"/>
      <c r="F1212" s="3"/>
      <c r="G1212" s="1"/>
      <c r="H1212" s="1"/>
      <c r="I1212" s="1"/>
      <c r="J1212" s="1"/>
      <c r="K1212" s="3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</row>
    <row r="1213" spans="1:24" ht="12.75" customHeight="1">
      <c r="A1213" s="1"/>
      <c r="B1213" s="1"/>
      <c r="C1213" s="2"/>
      <c r="D1213" s="58"/>
      <c r="E1213" s="1"/>
      <c r="F1213" s="3"/>
      <c r="G1213" s="1"/>
      <c r="H1213" s="1"/>
      <c r="I1213" s="1"/>
      <c r="J1213" s="1"/>
      <c r="K1213" s="3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</row>
    <row r="1214" spans="1:24" ht="12.75" customHeight="1">
      <c r="A1214" s="1"/>
      <c r="B1214" s="1"/>
      <c r="C1214" s="2"/>
      <c r="D1214" s="58"/>
      <c r="E1214" s="1"/>
      <c r="F1214" s="3"/>
      <c r="G1214" s="1"/>
      <c r="H1214" s="1"/>
      <c r="I1214" s="1"/>
      <c r="J1214" s="1"/>
      <c r="K1214" s="3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</row>
    <row r="1215" spans="1:24" ht="12.75" customHeight="1">
      <c r="A1215" s="1"/>
      <c r="B1215" s="1"/>
      <c r="C1215" s="2"/>
      <c r="D1215" s="58"/>
      <c r="E1215" s="1"/>
      <c r="F1215" s="3"/>
      <c r="G1215" s="1"/>
      <c r="H1215" s="1"/>
      <c r="I1215" s="1"/>
      <c r="J1215" s="1"/>
      <c r="K1215" s="3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</row>
    <row r="1216" spans="1:24" ht="12.75" customHeight="1">
      <c r="A1216" s="1"/>
      <c r="B1216" s="1"/>
      <c r="C1216" s="2"/>
      <c r="D1216" s="58"/>
      <c r="E1216" s="1"/>
      <c r="F1216" s="3"/>
      <c r="G1216" s="1"/>
      <c r="H1216" s="1"/>
      <c r="I1216" s="1"/>
      <c r="J1216" s="1"/>
      <c r="K1216" s="3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</row>
    <row r="1217" spans="1:24" ht="12.75" customHeight="1">
      <c r="A1217" s="1"/>
      <c r="B1217" s="1"/>
      <c r="C1217" s="2"/>
      <c r="D1217" s="58"/>
      <c r="E1217" s="1"/>
      <c r="F1217" s="3"/>
      <c r="G1217" s="1"/>
      <c r="H1217" s="1"/>
      <c r="I1217" s="1"/>
      <c r="J1217" s="1"/>
      <c r="K1217" s="3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</row>
    <row r="1218" spans="1:24" ht="12.75" customHeight="1">
      <c r="A1218" s="1"/>
      <c r="B1218" s="1"/>
      <c r="C1218" s="2"/>
      <c r="D1218" s="58"/>
      <c r="E1218" s="1"/>
      <c r="F1218" s="3"/>
      <c r="G1218" s="1"/>
      <c r="H1218" s="1"/>
      <c r="I1218" s="1"/>
      <c r="J1218" s="1"/>
      <c r="K1218" s="3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</row>
    <row r="1219" spans="1:24" ht="12.75" customHeight="1">
      <c r="A1219" s="1"/>
      <c r="B1219" s="1"/>
      <c r="C1219" s="2"/>
      <c r="D1219" s="58"/>
      <c r="E1219" s="1"/>
      <c r="F1219" s="3"/>
      <c r="G1219" s="1"/>
      <c r="H1219" s="1"/>
      <c r="I1219" s="1"/>
      <c r="J1219" s="1"/>
      <c r="K1219" s="3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</row>
    <row r="1220" spans="1:24" ht="12.75" customHeight="1">
      <c r="A1220" s="1"/>
      <c r="B1220" s="1"/>
      <c r="C1220" s="2"/>
      <c r="D1220" s="58"/>
      <c r="E1220" s="1"/>
      <c r="F1220" s="3"/>
      <c r="G1220" s="1"/>
      <c r="H1220" s="1"/>
      <c r="I1220" s="1"/>
      <c r="J1220" s="1"/>
      <c r="K1220" s="3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</row>
    <row r="1221" spans="1:24" ht="12.75" customHeight="1">
      <c r="A1221" s="1"/>
      <c r="B1221" s="1"/>
      <c r="C1221" s="2"/>
      <c r="D1221" s="58"/>
      <c r="E1221" s="1"/>
      <c r="F1221" s="3"/>
      <c r="G1221" s="1"/>
      <c r="H1221" s="1"/>
      <c r="I1221" s="1"/>
      <c r="J1221" s="1"/>
      <c r="K1221" s="3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</row>
    <row r="1222" spans="1:24" ht="12.75" customHeight="1">
      <c r="A1222" s="1"/>
      <c r="B1222" s="1"/>
      <c r="C1222" s="2"/>
      <c r="D1222" s="58"/>
      <c r="E1222" s="1"/>
      <c r="F1222" s="3"/>
      <c r="G1222" s="1"/>
      <c r="H1222" s="1"/>
      <c r="I1222" s="1"/>
      <c r="J1222" s="1"/>
      <c r="K1222" s="3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</row>
    <row r="1223" spans="1:24" ht="12.75" customHeight="1">
      <c r="A1223" s="1"/>
      <c r="B1223" s="1"/>
      <c r="C1223" s="2"/>
      <c r="D1223" s="58"/>
      <c r="E1223" s="1"/>
      <c r="F1223" s="3"/>
      <c r="G1223" s="1"/>
      <c r="H1223" s="1"/>
      <c r="I1223" s="1"/>
      <c r="J1223" s="1"/>
      <c r="K1223" s="3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</row>
    <row r="1224" spans="1:24" ht="12.75" customHeight="1">
      <c r="A1224" s="1"/>
      <c r="B1224" s="1"/>
      <c r="C1224" s="2"/>
      <c r="D1224" s="58"/>
      <c r="E1224" s="1"/>
      <c r="F1224" s="3"/>
      <c r="G1224" s="1"/>
      <c r="H1224" s="1"/>
      <c r="I1224" s="1"/>
      <c r="J1224" s="1"/>
      <c r="K1224" s="3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</row>
    <row r="1225" spans="1:24" ht="12.75" customHeight="1">
      <c r="A1225" s="1"/>
      <c r="B1225" s="1"/>
      <c r="C1225" s="2"/>
      <c r="D1225" s="58"/>
      <c r="E1225" s="1"/>
      <c r="F1225" s="3"/>
      <c r="G1225" s="1"/>
      <c r="H1225" s="1"/>
      <c r="I1225" s="1"/>
      <c r="J1225" s="1"/>
      <c r="K1225" s="3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</row>
    <row r="1226" spans="1:24" ht="12.75" customHeight="1">
      <c r="A1226" s="1"/>
      <c r="B1226" s="1"/>
      <c r="C1226" s="2"/>
      <c r="D1226" s="58"/>
      <c r="E1226" s="1"/>
      <c r="F1226" s="3"/>
      <c r="G1226" s="1"/>
      <c r="H1226" s="1"/>
      <c r="I1226" s="1"/>
      <c r="J1226" s="1"/>
      <c r="K1226" s="3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</row>
    <row r="1227" spans="1:24" ht="12.75" customHeight="1">
      <c r="A1227" s="1"/>
      <c r="B1227" s="1"/>
      <c r="C1227" s="2"/>
      <c r="D1227" s="58"/>
      <c r="E1227" s="1"/>
      <c r="F1227" s="3"/>
      <c r="G1227" s="1"/>
      <c r="H1227" s="1"/>
      <c r="I1227" s="1"/>
      <c r="J1227" s="1"/>
      <c r="K1227" s="3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</row>
    <row r="1228" spans="1:24" ht="12.75" customHeight="1">
      <c r="A1228" s="1"/>
      <c r="B1228" s="1"/>
      <c r="C1228" s="2"/>
      <c r="D1228" s="58"/>
      <c r="E1228" s="1"/>
      <c r="F1228" s="3"/>
      <c r="G1228" s="1"/>
      <c r="H1228" s="1"/>
      <c r="I1228" s="1"/>
      <c r="J1228" s="1"/>
      <c r="K1228" s="3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</row>
    <row r="1229" spans="1:24" ht="12.75" customHeight="1">
      <c r="A1229" s="1"/>
      <c r="B1229" s="1"/>
      <c r="C1229" s="2"/>
      <c r="D1229" s="58"/>
      <c r="E1229" s="1"/>
      <c r="F1229" s="3"/>
      <c r="G1229" s="1"/>
      <c r="H1229" s="1"/>
      <c r="I1229" s="1"/>
      <c r="J1229" s="1"/>
      <c r="K1229" s="3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</row>
    <row r="1230" spans="1:24" ht="12.75" customHeight="1">
      <c r="A1230" s="1"/>
      <c r="B1230" s="1"/>
      <c r="C1230" s="2"/>
      <c r="D1230" s="58"/>
      <c r="E1230" s="1"/>
      <c r="F1230" s="3"/>
      <c r="G1230" s="1"/>
      <c r="H1230" s="1"/>
      <c r="I1230" s="1"/>
      <c r="J1230" s="1"/>
      <c r="K1230" s="3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</row>
    <row r="1231" spans="1:24" ht="12.75" customHeight="1">
      <c r="A1231" s="1"/>
      <c r="B1231" s="1"/>
      <c r="C1231" s="2"/>
      <c r="D1231" s="58"/>
      <c r="E1231" s="1"/>
      <c r="F1231" s="3"/>
      <c r="G1231" s="1"/>
      <c r="H1231" s="1"/>
      <c r="I1231" s="1"/>
      <c r="J1231" s="1"/>
      <c r="K1231" s="3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</row>
    <row r="1232" spans="1:24" ht="12.75" customHeight="1">
      <c r="A1232" s="1"/>
      <c r="B1232" s="1"/>
      <c r="C1232" s="2"/>
      <c r="D1232" s="58"/>
      <c r="E1232" s="1"/>
      <c r="F1232" s="3"/>
      <c r="G1232" s="1"/>
      <c r="H1232" s="1"/>
      <c r="I1232" s="1"/>
      <c r="J1232" s="1"/>
      <c r="K1232" s="3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</row>
    <row r="1233" spans="1:24" ht="12.75" customHeight="1">
      <c r="A1233" s="1"/>
      <c r="B1233" s="1"/>
      <c r="C1233" s="2"/>
      <c r="D1233" s="58"/>
      <c r="E1233" s="1"/>
      <c r="F1233" s="3"/>
      <c r="G1233" s="1"/>
      <c r="H1233" s="1"/>
      <c r="I1233" s="1"/>
      <c r="J1233" s="1"/>
      <c r="K1233" s="3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</row>
    <row r="1234" spans="1:24" ht="12.75" customHeight="1">
      <c r="A1234" s="1"/>
      <c r="B1234" s="1"/>
      <c r="C1234" s="2"/>
      <c r="D1234" s="58"/>
      <c r="E1234" s="1"/>
      <c r="F1234" s="3"/>
      <c r="G1234" s="1"/>
      <c r="H1234" s="1"/>
      <c r="I1234" s="1"/>
      <c r="J1234" s="1"/>
      <c r="K1234" s="3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</row>
    <row r="1235" spans="1:24" ht="12.75" customHeight="1">
      <c r="A1235" s="1"/>
      <c r="B1235" s="1"/>
      <c r="C1235" s="2"/>
      <c r="D1235" s="58"/>
      <c r="E1235" s="1"/>
      <c r="F1235" s="3"/>
      <c r="G1235" s="1"/>
      <c r="H1235" s="1"/>
      <c r="I1235" s="1"/>
      <c r="J1235" s="1"/>
      <c r="K1235" s="3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</row>
    <row r="1236" spans="1:24" ht="12.75" customHeight="1">
      <c r="A1236" s="1"/>
      <c r="B1236" s="1"/>
      <c r="C1236" s="2"/>
      <c r="D1236" s="58"/>
      <c r="E1236" s="1"/>
      <c r="F1236" s="3"/>
      <c r="G1236" s="1"/>
      <c r="H1236" s="1"/>
      <c r="I1236" s="1"/>
      <c r="J1236" s="1"/>
      <c r="K1236" s="3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</row>
    <row r="1237" spans="1:24" ht="12.75" customHeight="1">
      <c r="A1237" s="1"/>
      <c r="B1237" s="1"/>
      <c r="C1237" s="2"/>
      <c r="D1237" s="58"/>
      <c r="E1237" s="1"/>
      <c r="F1237" s="3"/>
      <c r="G1237" s="1"/>
      <c r="H1237" s="1"/>
      <c r="I1237" s="1"/>
      <c r="J1237" s="1"/>
      <c r="K1237" s="3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</row>
    <row r="1238" spans="1:24" ht="12.75" customHeight="1">
      <c r="A1238" s="1"/>
      <c r="B1238" s="1"/>
      <c r="C1238" s="2"/>
      <c r="D1238" s="58"/>
      <c r="E1238" s="1"/>
      <c r="F1238" s="3"/>
      <c r="G1238" s="1"/>
      <c r="H1238" s="1"/>
      <c r="I1238" s="1"/>
      <c r="J1238" s="1"/>
      <c r="K1238" s="3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</row>
    <row r="1239" spans="1:24" ht="12.75" customHeight="1">
      <c r="A1239" s="1"/>
      <c r="B1239" s="1"/>
      <c r="C1239" s="2"/>
      <c r="D1239" s="58"/>
      <c r="E1239" s="1"/>
      <c r="F1239" s="3"/>
      <c r="G1239" s="1"/>
      <c r="H1239" s="1"/>
      <c r="I1239" s="1"/>
      <c r="J1239" s="1"/>
      <c r="K1239" s="3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</row>
    <row r="1240" spans="1:24" ht="12.75" customHeight="1">
      <c r="A1240" s="1"/>
      <c r="B1240" s="1"/>
      <c r="C1240" s="2"/>
      <c r="D1240" s="58"/>
      <c r="E1240" s="1"/>
      <c r="F1240" s="3"/>
      <c r="G1240" s="1"/>
      <c r="H1240" s="1"/>
      <c r="I1240" s="1"/>
      <c r="J1240" s="1"/>
      <c r="K1240" s="3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</row>
    <row r="1241" spans="1:24" ht="12.75" customHeight="1">
      <c r="A1241" s="1"/>
      <c r="B1241" s="1"/>
      <c r="C1241" s="2"/>
      <c r="D1241" s="58"/>
      <c r="E1241" s="1"/>
      <c r="F1241" s="3"/>
      <c r="G1241" s="1"/>
      <c r="H1241" s="1"/>
      <c r="I1241" s="1"/>
      <c r="J1241" s="1"/>
      <c r="K1241" s="3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</row>
    <row r="1242" spans="1:24" ht="12.75" customHeight="1">
      <c r="A1242" s="1"/>
      <c r="B1242" s="1"/>
      <c r="C1242" s="2"/>
      <c r="D1242" s="58"/>
      <c r="E1242" s="1"/>
      <c r="F1242" s="3"/>
      <c r="G1242" s="1"/>
      <c r="H1242" s="1"/>
      <c r="I1242" s="1"/>
      <c r="J1242" s="1"/>
      <c r="K1242" s="3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</row>
    <row r="1243" spans="1:24" ht="12.75" customHeight="1">
      <c r="A1243" s="1"/>
      <c r="B1243" s="1"/>
      <c r="C1243" s="2"/>
      <c r="D1243" s="58"/>
      <c r="E1243" s="1"/>
      <c r="F1243" s="3"/>
      <c r="G1243" s="1"/>
      <c r="H1243" s="1"/>
      <c r="I1243" s="1"/>
      <c r="J1243" s="1"/>
      <c r="K1243" s="3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</row>
    <row r="1244" spans="1:24" ht="12.75" customHeight="1">
      <c r="A1244" s="1"/>
      <c r="B1244" s="1"/>
      <c r="C1244" s="2"/>
      <c r="D1244" s="58"/>
      <c r="E1244" s="1"/>
      <c r="F1244" s="3"/>
      <c r="G1244" s="1"/>
      <c r="H1244" s="1"/>
      <c r="I1244" s="1"/>
      <c r="J1244" s="1"/>
      <c r="K1244" s="3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</row>
    <row r="1245" spans="1:24" ht="12.75" customHeight="1">
      <c r="A1245" s="1"/>
      <c r="B1245" s="1"/>
      <c r="C1245" s="2"/>
      <c r="D1245" s="58"/>
      <c r="E1245" s="1"/>
      <c r="F1245" s="3"/>
      <c r="G1245" s="1"/>
      <c r="H1245" s="1"/>
      <c r="I1245" s="1"/>
      <c r="J1245" s="1"/>
      <c r="K1245" s="3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</row>
    <row r="1246" spans="1:24" ht="12.75" customHeight="1">
      <c r="A1246" s="1"/>
      <c r="B1246" s="1"/>
      <c r="C1246" s="2"/>
      <c r="D1246" s="58"/>
      <c r="E1246" s="1"/>
      <c r="F1246" s="3"/>
      <c r="G1246" s="1"/>
      <c r="H1246" s="1"/>
      <c r="I1246" s="1"/>
      <c r="J1246" s="1"/>
      <c r="K1246" s="3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</row>
    <row r="1247" spans="1:24" ht="12.75" customHeight="1">
      <c r="A1247" s="1"/>
      <c r="B1247" s="1"/>
      <c r="C1247" s="2"/>
      <c r="D1247" s="58"/>
      <c r="E1247" s="1"/>
      <c r="F1247" s="3"/>
      <c r="G1247" s="1"/>
      <c r="H1247" s="1"/>
      <c r="I1247" s="1"/>
      <c r="J1247" s="1"/>
      <c r="K1247" s="3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</row>
    <row r="1248" spans="1:24" ht="12.75" customHeight="1">
      <c r="A1248" s="1"/>
      <c r="B1248" s="1"/>
      <c r="C1248" s="2"/>
      <c r="D1248" s="58"/>
      <c r="E1248" s="1"/>
      <c r="F1248" s="3"/>
      <c r="G1248" s="1"/>
      <c r="H1248" s="1"/>
      <c r="I1248" s="1"/>
      <c r="J1248" s="1"/>
      <c r="K1248" s="3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</row>
    <row r="1249" spans="1:24" ht="12.75" customHeight="1">
      <c r="A1249" s="1"/>
      <c r="B1249" s="1"/>
      <c r="C1249" s="2"/>
      <c r="D1249" s="58"/>
      <c r="E1249" s="1"/>
      <c r="F1249" s="3"/>
      <c r="G1249" s="1"/>
      <c r="H1249" s="1"/>
      <c r="I1249" s="1"/>
      <c r="J1249" s="1"/>
      <c r="K1249" s="3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</row>
    <row r="1250" spans="1:24" ht="12.75" customHeight="1">
      <c r="A1250" s="1"/>
      <c r="B1250" s="1"/>
      <c r="C1250" s="2"/>
      <c r="D1250" s="58"/>
      <c r="E1250" s="1"/>
      <c r="F1250" s="3"/>
      <c r="G1250" s="1"/>
      <c r="H1250" s="1"/>
      <c r="I1250" s="1"/>
      <c r="J1250" s="1"/>
      <c r="K1250" s="3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</row>
    <row r="1251" spans="1:24" ht="12.75" customHeight="1">
      <c r="A1251" s="1"/>
      <c r="B1251" s="1"/>
      <c r="C1251" s="2"/>
      <c r="D1251" s="58"/>
      <c r="E1251" s="1"/>
      <c r="F1251" s="3"/>
      <c r="G1251" s="1"/>
      <c r="H1251" s="1"/>
      <c r="I1251" s="1"/>
      <c r="J1251" s="1"/>
      <c r="K1251" s="3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</row>
    <row r="1252" spans="1:24" ht="12.75" customHeight="1">
      <c r="A1252" s="1"/>
      <c r="B1252" s="1"/>
      <c r="C1252" s="2"/>
      <c r="D1252" s="58"/>
      <c r="E1252" s="1"/>
      <c r="F1252" s="3"/>
      <c r="G1252" s="1"/>
      <c r="H1252" s="1"/>
      <c r="I1252" s="1"/>
      <c r="J1252" s="1"/>
      <c r="K1252" s="3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</row>
    <row r="1253" spans="1:24" ht="12.75" customHeight="1">
      <c r="A1253" s="1"/>
      <c r="B1253" s="1"/>
      <c r="C1253" s="2"/>
      <c r="D1253" s="58"/>
      <c r="E1253" s="1"/>
      <c r="F1253" s="3"/>
      <c r="G1253" s="1"/>
      <c r="H1253" s="1"/>
      <c r="I1253" s="1"/>
      <c r="J1253" s="1"/>
      <c r="K1253" s="3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</row>
    <row r="1254" spans="1:24" ht="12.75" customHeight="1">
      <c r="A1254" s="1"/>
      <c r="B1254" s="1"/>
      <c r="C1254" s="2"/>
      <c r="D1254" s="58"/>
      <c r="E1254" s="1"/>
      <c r="F1254" s="3"/>
      <c r="G1254" s="1"/>
      <c r="H1254" s="1"/>
      <c r="I1254" s="1"/>
      <c r="J1254" s="1"/>
      <c r="K1254" s="3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</row>
    <row r="1255" spans="1:24" ht="12.75" customHeight="1">
      <c r="A1255" s="1"/>
      <c r="B1255" s="1"/>
      <c r="C1255" s="2"/>
      <c r="D1255" s="58"/>
      <c r="E1255" s="1"/>
      <c r="F1255" s="3"/>
      <c r="G1255" s="1"/>
      <c r="H1255" s="1"/>
      <c r="I1255" s="1"/>
      <c r="J1255" s="1"/>
      <c r="K1255" s="3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</row>
    <row r="1256" spans="1:24" ht="12.75" customHeight="1">
      <c r="A1256" s="1"/>
      <c r="B1256" s="1"/>
      <c r="C1256" s="2"/>
      <c r="D1256" s="58"/>
      <c r="E1256" s="1"/>
      <c r="F1256" s="3"/>
      <c r="G1256" s="1"/>
      <c r="H1256" s="1"/>
      <c r="I1256" s="1"/>
      <c r="J1256" s="1"/>
      <c r="K1256" s="3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</row>
    <row r="1257" spans="1:24" ht="12.75" customHeight="1">
      <c r="A1257" s="1"/>
      <c r="B1257" s="1"/>
      <c r="C1257" s="2"/>
      <c r="D1257" s="58"/>
      <c r="E1257" s="1"/>
      <c r="F1257" s="3"/>
      <c r="G1257" s="1"/>
      <c r="H1257" s="1"/>
      <c r="I1257" s="1"/>
      <c r="J1257" s="1"/>
      <c r="K1257" s="3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</row>
    <row r="1258" spans="1:24" ht="12.75" customHeight="1">
      <c r="A1258" s="1"/>
      <c r="B1258" s="1"/>
      <c r="C1258" s="2"/>
      <c r="D1258" s="58"/>
      <c r="E1258" s="1"/>
      <c r="F1258" s="3"/>
      <c r="G1258" s="1"/>
      <c r="H1258" s="1"/>
      <c r="I1258" s="1"/>
      <c r="J1258" s="1"/>
      <c r="K1258" s="3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</row>
    <row r="1259" spans="1:24" ht="12.75" customHeight="1">
      <c r="A1259" s="1"/>
      <c r="B1259" s="1"/>
      <c r="C1259" s="2"/>
      <c r="D1259" s="58"/>
      <c r="E1259" s="1"/>
      <c r="F1259" s="3"/>
      <c r="G1259" s="1"/>
      <c r="H1259" s="1"/>
      <c r="I1259" s="1"/>
      <c r="J1259" s="1"/>
      <c r="K1259" s="3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</row>
    <row r="1260" spans="1:24" ht="12.75" customHeight="1">
      <c r="A1260" s="1"/>
      <c r="B1260" s="1"/>
      <c r="C1260" s="2"/>
      <c r="D1260" s="58"/>
      <c r="E1260" s="1"/>
      <c r="F1260" s="3"/>
      <c r="G1260" s="1"/>
      <c r="H1260" s="1"/>
      <c r="I1260" s="1"/>
      <c r="J1260" s="1"/>
      <c r="K1260" s="3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</row>
    <row r="1261" spans="1:24" ht="12.75" customHeight="1">
      <c r="A1261" s="1"/>
      <c r="B1261" s="1"/>
      <c r="C1261" s="2"/>
      <c r="D1261" s="58"/>
      <c r="E1261" s="1"/>
      <c r="F1261" s="3"/>
      <c r="G1261" s="1"/>
      <c r="H1261" s="1"/>
      <c r="I1261" s="1"/>
      <c r="J1261" s="1"/>
      <c r="K1261" s="3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</row>
    <row r="1262" spans="1:24" ht="12.75" customHeight="1">
      <c r="A1262" s="1"/>
      <c r="B1262" s="1"/>
      <c r="C1262" s="2"/>
      <c r="D1262" s="58"/>
      <c r="E1262" s="1"/>
      <c r="F1262" s="3"/>
      <c r="G1262" s="1"/>
      <c r="H1262" s="1"/>
      <c r="I1262" s="1"/>
      <c r="J1262" s="1"/>
      <c r="K1262" s="3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</row>
    <row r="1263" spans="1:24" ht="12.75" customHeight="1">
      <c r="A1263" s="1"/>
      <c r="B1263" s="1"/>
      <c r="C1263" s="2"/>
      <c r="D1263" s="58"/>
      <c r="E1263" s="1"/>
      <c r="F1263" s="3"/>
      <c r="G1263" s="1"/>
      <c r="H1263" s="1"/>
      <c r="I1263" s="1"/>
      <c r="J1263" s="1"/>
      <c r="K1263" s="3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</row>
    <row r="1264" spans="1:24" ht="12.75" customHeight="1">
      <c r="A1264" s="1"/>
      <c r="B1264" s="1"/>
      <c r="C1264" s="2"/>
      <c r="D1264" s="58"/>
      <c r="E1264" s="1"/>
      <c r="F1264" s="3"/>
      <c r="G1264" s="1"/>
      <c r="H1264" s="1"/>
      <c r="I1264" s="1"/>
      <c r="J1264" s="1"/>
      <c r="K1264" s="3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</row>
    <row r="1265" spans="1:24" ht="12.75" customHeight="1">
      <c r="A1265" s="1"/>
      <c r="B1265" s="1"/>
      <c r="C1265" s="2"/>
      <c r="D1265" s="58"/>
      <c r="E1265" s="1"/>
      <c r="F1265" s="3"/>
      <c r="G1265" s="1"/>
      <c r="H1265" s="1"/>
      <c r="I1265" s="1"/>
      <c r="J1265" s="1"/>
      <c r="K1265" s="3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</row>
    <row r="1266" spans="1:24" ht="12.75" customHeight="1">
      <c r="A1266" s="1"/>
      <c r="B1266" s="1"/>
      <c r="C1266" s="2"/>
      <c r="D1266" s="58"/>
      <c r="E1266" s="1"/>
      <c r="F1266" s="3"/>
      <c r="G1266" s="1"/>
      <c r="H1266" s="1"/>
      <c r="I1266" s="1"/>
      <c r="J1266" s="1"/>
      <c r="K1266" s="3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</row>
    <row r="1267" spans="1:24" ht="12.75" customHeight="1">
      <c r="A1267" s="1"/>
      <c r="B1267" s="1"/>
      <c r="C1267" s="2"/>
      <c r="D1267" s="58"/>
      <c r="E1267" s="1"/>
      <c r="F1267" s="3"/>
      <c r="G1267" s="1"/>
      <c r="H1267" s="1"/>
      <c r="I1267" s="1"/>
      <c r="J1267" s="1"/>
      <c r="K1267" s="3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</row>
    <row r="1268" spans="1:24" ht="12.75" customHeight="1">
      <c r="A1268" s="1"/>
      <c r="B1268" s="1"/>
      <c r="C1268" s="2"/>
      <c r="D1268" s="58"/>
      <c r="E1268" s="1"/>
      <c r="F1268" s="3"/>
      <c r="G1268" s="1"/>
      <c r="H1268" s="1"/>
      <c r="I1268" s="1"/>
      <c r="J1268" s="1"/>
      <c r="K1268" s="3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</row>
    <row r="1269" spans="1:24" ht="12.75" customHeight="1">
      <c r="A1269" s="1"/>
      <c r="B1269" s="1"/>
      <c r="C1269" s="2"/>
      <c r="D1269" s="58"/>
      <c r="E1269" s="1"/>
      <c r="F1269" s="3"/>
      <c r="G1269" s="1"/>
      <c r="H1269" s="1"/>
      <c r="I1269" s="1"/>
      <c r="J1269" s="1"/>
      <c r="K1269" s="3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</row>
    <row r="1270" spans="1:24" ht="12.75" customHeight="1">
      <c r="A1270" s="1"/>
      <c r="B1270" s="1"/>
      <c r="C1270" s="2"/>
      <c r="D1270" s="58"/>
      <c r="E1270" s="1"/>
      <c r="F1270" s="3"/>
      <c r="G1270" s="1"/>
      <c r="H1270" s="1"/>
      <c r="I1270" s="1"/>
      <c r="J1270" s="1"/>
      <c r="K1270" s="3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</row>
    <row r="1271" spans="1:24" ht="12.75" customHeight="1">
      <c r="A1271" s="1"/>
      <c r="B1271" s="1"/>
      <c r="C1271" s="2"/>
      <c r="D1271" s="58"/>
      <c r="E1271" s="1"/>
      <c r="F1271" s="3"/>
      <c r="G1271" s="1"/>
      <c r="H1271" s="1"/>
      <c r="I1271" s="1"/>
      <c r="J1271" s="1"/>
      <c r="K1271" s="3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</row>
    <row r="1272" spans="1:24" ht="12.75" customHeight="1">
      <c r="A1272" s="1"/>
      <c r="B1272" s="1"/>
      <c r="C1272" s="2"/>
      <c r="D1272" s="58"/>
      <c r="E1272" s="1"/>
      <c r="F1272" s="3"/>
      <c r="G1272" s="1"/>
      <c r="H1272" s="1"/>
      <c r="I1272" s="1"/>
      <c r="J1272" s="1"/>
      <c r="K1272" s="3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</row>
    <row r="1273" spans="1:24" ht="12.75" customHeight="1">
      <c r="A1273" s="1"/>
      <c r="B1273" s="1"/>
      <c r="C1273" s="2"/>
      <c r="D1273" s="58"/>
      <c r="E1273" s="1"/>
      <c r="F1273" s="3"/>
      <c r="G1273" s="1"/>
      <c r="H1273" s="1"/>
      <c r="I1273" s="1"/>
      <c r="J1273" s="1"/>
      <c r="K1273" s="3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</row>
    <row r="1274" spans="1:24" ht="12.75" customHeight="1">
      <c r="A1274" s="1"/>
      <c r="B1274" s="1"/>
      <c r="C1274" s="2"/>
      <c r="D1274" s="58"/>
      <c r="E1274" s="1"/>
      <c r="F1274" s="3"/>
      <c r="G1274" s="1"/>
      <c r="H1274" s="1"/>
      <c r="I1274" s="1"/>
      <c r="J1274" s="1"/>
      <c r="K1274" s="3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</row>
    <row r="1275" spans="1:24" ht="12.75" customHeight="1">
      <c r="A1275" s="1"/>
      <c r="B1275" s="1"/>
      <c r="C1275" s="2"/>
      <c r="D1275" s="58"/>
      <c r="E1275" s="1"/>
      <c r="F1275" s="3"/>
      <c r="G1275" s="1"/>
      <c r="H1275" s="1"/>
      <c r="I1275" s="1"/>
      <c r="J1275" s="1"/>
      <c r="K1275" s="3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</row>
    <row r="1276" spans="1:24" ht="12.75" customHeight="1">
      <c r="A1276" s="1"/>
      <c r="B1276" s="1"/>
      <c r="C1276" s="2"/>
      <c r="D1276" s="58"/>
      <c r="E1276" s="1"/>
      <c r="F1276" s="3"/>
      <c r="G1276" s="1"/>
      <c r="H1276" s="1"/>
      <c r="I1276" s="1"/>
      <c r="J1276" s="1"/>
      <c r="K1276" s="3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</row>
    <row r="1277" spans="1:24" ht="12.75" customHeight="1">
      <c r="A1277" s="1"/>
      <c r="B1277" s="1"/>
      <c r="C1277" s="2"/>
      <c r="D1277" s="58"/>
      <c r="E1277" s="1"/>
      <c r="F1277" s="3"/>
      <c r="G1277" s="1"/>
      <c r="H1277" s="1"/>
      <c r="I1277" s="1"/>
      <c r="J1277" s="1"/>
      <c r="K1277" s="3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</row>
    <row r="1278" spans="1:24" ht="12.75" customHeight="1">
      <c r="A1278" s="1"/>
      <c r="B1278" s="1"/>
      <c r="C1278" s="2"/>
      <c r="D1278" s="58"/>
      <c r="E1278" s="1"/>
      <c r="F1278" s="3"/>
      <c r="G1278" s="1"/>
      <c r="H1278" s="1"/>
      <c r="I1278" s="1"/>
      <c r="J1278" s="1"/>
      <c r="K1278" s="3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</row>
    <row r="1279" spans="1:24" ht="12.75" customHeight="1">
      <c r="A1279" s="1"/>
      <c r="B1279" s="1"/>
      <c r="C1279" s="2"/>
      <c r="D1279" s="58"/>
      <c r="E1279" s="1"/>
      <c r="F1279" s="3"/>
      <c r="G1279" s="1"/>
      <c r="H1279" s="1"/>
      <c r="I1279" s="1"/>
      <c r="J1279" s="1"/>
      <c r="K1279" s="3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</row>
    <row r="1280" spans="1:24" ht="12.75" customHeight="1">
      <c r="A1280" s="1"/>
      <c r="B1280" s="1"/>
      <c r="C1280" s="2"/>
      <c r="D1280" s="58"/>
      <c r="E1280" s="1"/>
      <c r="F1280" s="3"/>
      <c r="G1280" s="1"/>
      <c r="H1280" s="1"/>
      <c r="I1280" s="1"/>
      <c r="J1280" s="1"/>
      <c r="K1280" s="3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</row>
    <row r="1281" spans="1:24" ht="12.75" customHeight="1">
      <c r="A1281" s="1"/>
      <c r="B1281" s="1"/>
      <c r="C1281" s="2"/>
      <c r="D1281" s="58"/>
      <c r="E1281" s="1"/>
      <c r="F1281" s="3"/>
      <c r="G1281" s="1"/>
      <c r="H1281" s="1"/>
      <c r="I1281" s="1"/>
      <c r="J1281" s="1"/>
      <c r="K1281" s="3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</row>
    <row r="1282" spans="1:24" ht="12.75" customHeight="1">
      <c r="A1282" s="1"/>
      <c r="B1282" s="1"/>
      <c r="C1282" s="2"/>
      <c r="D1282" s="58"/>
      <c r="E1282" s="1"/>
      <c r="F1282" s="3"/>
      <c r="G1282" s="1"/>
      <c r="H1282" s="1"/>
      <c r="I1282" s="1"/>
      <c r="J1282" s="1"/>
      <c r="K1282" s="3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</row>
    <row r="1283" spans="1:24" ht="12.75" customHeight="1">
      <c r="A1283" s="1"/>
      <c r="B1283" s="1"/>
      <c r="C1283" s="2"/>
      <c r="D1283" s="58"/>
      <c r="E1283" s="1"/>
      <c r="F1283" s="3"/>
      <c r="G1283" s="1"/>
      <c r="H1283" s="1"/>
      <c r="I1283" s="1"/>
      <c r="J1283" s="1"/>
      <c r="K1283" s="3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</row>
    <row r="1284" spans="1:24" ht="12.75" customHeight="1">
      <c r="A1284" s="1"/>
      <c r="B1284" s="1"/>
      <c r="C1284" s="2"/>
      <c r="D1284" s="58"/>
      <c r="E1284" s="1"/>
      <c r="F1284" s="3"/>
      <c r="G1284" s="1"/>
      <c r="H1284" s="1"/>
      <c r="I1284" s="1"/>
      <c r="J1284" s="1"/>
      <c r="K1284" s="3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</row>
    <row r="1285" spans="1:24" ht="12.75" customHeight="1">
      <c r="A1285" s="1"/>
      <c r="B1285" s="1"/>
      <c r="C1285" s="2"/>
      <c r="D1285" s="58"/>
      <c r="E1285" s="1"/>
      <c r="F1285" s="3"/>
      <c r="G1285" s="1"/>
      <c r="H1285" s="1"/>
      <c r="I1285" s="1"/>
      <c r="J1285" s="1"/>
      <c r="K1285" s="3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</row>
    <row r="1286" spans="1:24" ht="12.75" customHeight="1">
      <c r="A1286" s="1"/>
      <c r="B1286" s="1"/>
      <c r="C1286" s="2"/>
      <c r="D1286" s="58"/>
      <c r="E1286" s="1"/>
      <c r="F1286" s="3"/>
      <c r="G1286" s="1"/>
      <c r="H1286" s="1"/>
      <c r="I1286" s="1"/>
      <c r="J1286" s="1"/>
      <c r="K1286" s="3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</row>
    <row r="1287" spans="1:24" ht="12.75" customHeight="1">
      <c r="A1287" s="1"/>
      <c r="B1287" s="1"/>
      <c r="C1287" s="2"/>
      <c r="D1287" s="58"/>
      <c r="E1287" s="1"/>
      <c r="F1287" s="3"/>
      <c r="G1287" s="1"/>
      <c r="H1287" s="1"/>
      <c r="I1287" s="1"/>
      <c r="J1287" s="1"/>
      <c r="K1287" s="3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</row>
    <row r="1288" spans="1:24" ht="12.75" customHeight="1">
      <c r="A1288" s="1"/>
      <c r="B1288" s="1"/>
      <c r="C1288" s="2"/>
      <c r="D1288" s="58"/>
      <c r="E1288" s="1"/>
      <c r="F1288" s="3"/>
      <c r="G1288" s="1"/>
      <c r="H1288" s="1"/>
      <c r="I1288" s="1"/>
      <c r="J1288" s="1"/>
      <c r="K1288" s="3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</row>
    <row r="1289" spans="1:24" ht="12.75" customHeight="1">
      <c r="A1289" s="1"/>
      <c r="B1289" s="1"/>
      <c r="C1289" s="2"/>
      <c r="D1289" s="58"/>
      <c r="E1289" s="1"/>
      <c r="F1289" s="3"/>
      <c r="G1289" s="1"/>
      <c r="H1289" s="1"/>
      <c r="I1289" s="1"/>
      <c r="J1289" s="1"/>
      <c r="K1289" s="3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</row>
    <row r="1290" spans="1:24" ht="12.75" customHeight="1">
      <c r="A1290" s="1"/>
      <c r="B1290" s="1"/>
      <c r="C1290" s="2"/>
      <c r="D1290" s="58"/>
      <c r="E1290" s="1"/>
      <c r="F1290" s="3"/>
      <c r="G1290" s="1"/>
      <c r="H1290" s="1"/>
      <c r="I1290" s="1"/>
      <c r="J1290" s="1"/>
      <c r="K1290" s="3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</row>
    <row r="1291" spans="1:24" ht="12.75" customHeight="1">
      <c r="A1291" s="1"/>
      <c r="B1291" s="1"/>
      <c r="C1291" s="2"/>
      <c r="D1291" s="58"/>
      <c r="E1291" s="1"/>
      <c r="F1291" s="3"/>
      <c r="G1291" s="1"/>
      <c r="H1291" s="1"/>
      <c r="I1291" s="1"/>
      <c r="J1291" s="1"/>
      <c r="K1291" s="3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</row>
    <row r="1292" spans="1:24" ht="12.75" customHeight="1">
      <c r="A1292" s="1"/>
      <c r="B1292" s="1"/>
      <c r="C1292" s="2"/>
      <c r="D1292" s="58"/>
      <c r="E1292" s="1"/>
      <c r="F1292" s="3"/>
      <c r="G1292" s="1"/>
      <c r="H1292" s="1"/>
      <c r="I1292" s="1"/>
      <c r="J1292" s="1"/>
      <c r="K1292" s="3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</row>
    <row r="1293" spans="1:24" ht="12.75" customHeight="1">
      <c r="A1293" s="1"/>
      <c r="B1293" s="1"/>
      <c r="C1293" s="2"/>
      <c r="D1293" s="58"/>
      <c r="E1293" s="1"/>
      <c r="F1293" s="3"/>
      <c r="G1293" s="1"/>
      <c r="H1293" s="1"/>
      <c r="I1293" s="1"/>
      <c r="J1293" s="1"/>
      <c r="K1293" s="3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</row>
    <row r="1294" spans="1:24" ht="12.75" customHeight="1">
      <c r="A1294" s="1"/>
      <c r="B1294" s="1"/>
      <c r="C1294" s="2"/>
      <c r="D1294" s="58"/>
      <c r="E1294" s="1"/>
      <c r="F1294" s="3"/>
      <c r="G1294" s="1"/>
      <c r="H1294" s="1"/>
      <c r="I1294" s="1"/>
      <c r="J1294" s="1"/>
      <c r="K1294" s="3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</row>
    <row r="1295" spans="1:24" ht="12.75" customHeight="1">
      <c r="A1295" s="1"/>
      <c r="B1295" s="1"/>
      <c r="C1295" s="2"/>
      <c r="D1295" s="58"/>
      <c r="E1295" s="1"/>
      <c r="F1295" s="3"/>
      <c r="G1295" s="1"/>
      <c r="H1295" s="1"/>
      <c r="I1295" s="1"/>
      <c r="J1295" s="1"/>
      <c r="K1295" s="3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</row>
    <row r="1296" spans="1:24" ht="12.75" customHeight="1">
      <c r="A1296" s="1"/>
      <c r="B1296" s="1"/>
      <c r="C1296" s="2"/>
      <c r="D1296" s="58"/>
      <c r="E1296" s="1"/>
      <c r="F1296" s="3"/>
      <c r="G1296" s="1"/>
      <c r="H1296" s="1"/>
      <c r="I1296" s="1"/>
      <c r="J1296" s="1"/>
      <c r="K1296" s="3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</row>
    <row r="1297" spans="1:24" ht="12.75" customHeight="1">
      <c r="A1297" s="1"/>
      <c r="B1297" s="1"/>
      <c r="C1297" s="2"/>
      <c r="D1297" s="58"/>
      <c r="E1297" s="1"/>
      <c r="F1297" s="3"/>
      <c r="G1297" s="1"/>
      <c r="H1297" s="1"/>
      <c r="I1297" s="1"/>
      <c r="J1297" s="1"/>
      <c r="K1297" s="3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</row>
    <row r="1298" spans="1:24" ht="12.75" customHeight="1">
      <c r="A1298" s="1"/>
      <c r="B1298" s="1"/>
      <c r="C1298" s="2"/>
      <c r="D1298" s="58"/>
      <c r="E1298" s="1"/>
      <c r="F1298" s="3"/>
      <c r="G1298" s="1"/>
      <c r="H1298" s="1"/>
      <c r="I1298" s="1"/>
      <c r="J1298" s="1"/>
      <c r="K1298" s="3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</row>
    <row r="1299" spans="1:24" ht="12.75" customHeight="1">
      <c r="A1299" s="1"/>
      <c r="B1299" s="1"/>
      <c r="C1299" s="2"/>
      <c r="D1299" s="58"/>
      <c r="E1299" s="1"/>
      <c r="F1299" s="3"/>
      <c r="G1299" s="1"/>
      <c r="H1299" s="1"/>
      <c r="I1299" s="1"/>
      <c r="J1299" s="1"/>
      <c r="K1299" s="3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</row>
    <row r="1300" spans="1:24" ht="12.75" customHeight="1">
      <c r="A1300" s="1"/>
      <c r="B1300" s="1"/>
      <c r="C1300" s="2"/>
      <c r="D1300" s="58"/>
      <c r="E1300" s="1"/>
      <c r="F1300" s="3"/>
      <c r="G1300" s="1"/>
      <c r="H1300" s="1"/>
      <c r="I1300" s="1"/>
      <c r="J1300" s="1"/>
      <c r="K1300" s="3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</row>
    <row r="1301" spans="1:24" ht="12.75" customHeight="1">
      <c r="A1301" s="1"/>
      <c r="B1301" s="1"/>
      <c r="C1301" s="2"/>
      <c r="D1301" s="58"/>
      <c r="E1301" s="1"/>
      <c r="F1301" s="3"/>
      <c r="G1301" s="1"/>
      <c r="H1301" s="1"/>
      <c r="I1301" s="1"/>
      <c r="J1301" s="1"/>
      <c r="K1301" s="3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</row>
    <row r="1302" spans="1:24" ht="12.75" customHeight="1">
      <c r="A1302" s="1"/>
      <c r="B1302" s="1"/>
      <c r="C1302" s="2"/>
      <c r="D1302" s="58"/>
      <c r="E1302" s="1"/>
      <c r="F1302" s="3"/>
      <c r="G1302" s="1"/>
      <c r="H1302" s="1"/>
      <c r="I1302" s="1"/>
      <c r="J1302" s="1"/>
      <c r="K1302" s="3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</row>
    <row r="1303" spans="1:24" ht="12.75" customHeight="1">
      <c r="A1303" s="1"/>
      <c r="B1303" s="1"/>
      <c r="C1303" s="2"/>
      <c r="D1303" s="58"/>
      <c r="E1303" s="1"/>
      <c r="F1303" s="3"/>
      <c r="G1303" s="1"/>
      <c r="H1303" s="1"/>
      <c r="I1303" s="1"/>
      <c r="J1303" s="1"/>
      <c r="K1303" s="3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</row>
    <row r="1304" spans="1:24" ht="12.75" customHeight="1">
      <c r="A1304" s="1"/>
      <c r="B1304" s="1"/>
      <c r="C1304" s="2"/>
      <c r="D1304" s="58"/>
      <c r="E1304" s="1"/>
      <c r="F1304" s="3"/>
      <c r="G1304" s="1"/>
      <c r="H1304" s="1"/>
      <c r="I1304" s="1"/>
      <c r="J1304" s="1"/>
      <c r="K1304" s="3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</row>
    <row r="1305" spans="1:24" ht="12.75" customHeight="1">
      <c r="A1305" s="1"/>
      <c r="B1305" s="1"/>
      <c r="C1305" s="2"/>
      <c r="D1305" s="58"/>
      <c r="E1305" s="1"/>
      <c r="F1305" s="3"/>
      <c r="G1305" s="1"/>
      <c r="H1305" s="1"/>
      <c r="I1305" s="1"/>
      <c r="J1305" s="1"/>
      <c r="K1305" s="3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</row>
    <row r="1306" spans="1:24" ht="12.75" customHeight="1">
      <c r="A1306" s="1"/>
      <c r="B1306" s="1"/>
      <c r="C1306" s="2"/>
      <c r="D1306" s="58"/>
      <c r="E1306" s="1"/>
      <c r="F1306" s="3"/>
      <c r="G1306" s="1"/>
      <c r="H1306" s="1"/>
      <c r="I1306" s="1"/>
      <c r="J1306" s="1"/>
      <c r="K1306" s="3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</row>
    <row r="1307" spans="1:24" ht="12.75" customHeight="1">
      <c r="A1307" s="1"/>
      <c r="B1307" s="1"/>
      <c r="C1307" s="2"/>
      <c r="D1307" s="58"/>
      <c r="E1307" s="1"/>
      <c r="F1307" s="3"/>
      <c r="G1307" s="1"/>
      <c r="H1307" s="1"/>
      <c r="I1307" s="1"/>
      <c r="J1307" s="1"/>
      <c r="K1307" s="3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</row>
  </sheetData>
  <mergeCells count="5">
    <mergeCell ref="B5:B7"/>
    <mergeCell ref="C5:C7"/>
    <mergeCell ref="D5:D7"/>
    <mergeCell ref="E5:P5"/>
    <mergeCell ref="Q5:T5"/>
  </mergeCells>
  <phoneticPr fontId="6" type="noConversion"/>
  <dataValidations count="1">
    <dataValidation type="list" allowBlank="1" showErrorMessage="1" sqref="E6:P6" xr:uid="{B2C5B9C6-E231-45E5-AB50-35AF38B6BE5E}">
      <formula1>$Q$1:$R$1</formula1>
    </dataValidation>
  </dataValidations>
  <pageMargins left="0.7" right="0.7" top="0.75" bottom="0.75" header="0" footer="0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ersionNotes xmlns="49a260ee-f963-44cb-b253-a447a569403e" xsi:nil="true"/>
    <Notes xmlns="49a260ee-f963-44cb-b253-a447a569403e" xsi:nil="true"/>
    <DocumentSetDescription xmlns="http://schemas.microsoft.com/sharepoint/v3" xsi:nil="true"/>
    <TaxCatchAll xmlns="cb12fc1f-9469-430d-8ed3-8f2bca56873d" xsi:nil="true"/>
    <lcf76f155ced4ddcb4097134ff3c332f xmlns="49a260ee-f963-44cb-b253-a447a569403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E11642375FD246883713D65245532F" ma:contentTypeVersion="28" ma:contentTypeDescription="Create a new document." ma:contentTypeScope="" ma:versionID="2bb92a5dc48e62d7c396a76a9775d5b2">
  <xsd:schema xmlns:xsd="http://www.w3.org/2001/XMLSchema" xmlns:xs="http://www.w3.org/2001/XMLSchema" xmlns:p="http://schemas.microsoft.com/office/2006/metadata/properties" xmlns:ns1="http://schemas.microsoft.com/sharepoint/v3" xmlns:ns2="cb12fc1f-9469-430d-8ed3-8f2bca56873d" xmlns:ns3="49a260ee-f963-44cb-b253-a447a569403e" targetNamespace="http://schemas.microsoft.com/office/2006/metadata/properties" ma:root="true" ma:fieldsID="cd072836ae0190a503ac754f8621c938" ns1:_="" ns2:_="" ns3:_="">
    <xsd:import namespace="http://schemas.microsoft.com/sharepoint/v3"/>
    <xsd:import namespace="cb12fc1f-9469-430d-8ed3-8f2bca56873d"/>
    <xsd:import namespace="49a260ee-f963-44cb-b253-a447a569403e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1:DocumentSetDescription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Location" minOccurs="0"/>
                <xsd:element ref="ns3:VersionNotes" minOccurs="0"/>
                <xsd:element ref="ns3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ocumentSetDescription" ma:index="10" nillable="true" ma:displayName="Description" ma:description="A description of the Document Set" ma:internalName="DocumentSetDescription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2fc1f-9469-430d-8ed3-8f2bca56873d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fc1482ef-6ab3-46ec-bdc3-d0d22bd37352}" ma:internalName="TaxCatchAll" ma:showField="CatchAllData" ma:web="cb12fc1f-9469-430d-8ed3-8f2bca5687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fc1482ef-6ab3-46ec-bdc3-d0d22bd37352}" ma:internalName="TaxCatchAllLabel" ma:readOnly="true" ma:showField="CatchAllDataLabel" ma:web="cb12fc1f-9469-430d-8ed3-8f2bca5687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a260ee-f963-44cb-b253-a447a56940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44a5fc2-e1de-4226-a417-e5990e3526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VersionNotes" ma:index="25" nillable="true" ma:displayName="Version Notes" ma:description="This is the initial version to get the intake form off the ground " ma:format="Dropdown" ma:internalName="VersionNotes">
      <xsd:simpleType>
        <xsd:restriction base="dms:Text">
          <xsd:maxLength value="255"/>
        </xsd:restriction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744a5fc2-e1de-4226-a417-e5990e3526f4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287B8D-7B7D-4025-8370-69CD3DDC0A52}"/>
</file>

<file path=customXml/itemProps2.xml><?xml version="1.0" encoding="utf-8"?>
<ds:datastoreItem xmlns:ds="http://schemas.openxmlformats.org/officeDocument/2006/customXml" ds:itemID="{F4DCEC16-91D2-454F-AF74-528DBE3836F7}"/>
</file>

<file path=customXml/itemProps3.xml><?xml version="1.0" encoding="utf-8"?>
<ds:datastoreItem xmlns:ds="http://schemas.openxmlformats.org/officeDocument/2006/customXml" ds:itemID="{313D7BC5-E398-4C85-99BD-BF4DA9A9420C}"/>
</file>

<file path=customXml/itemProps4.xml><?xml version="1.0" encoding="utf-8"?>
<ds:datastoreItem xmlns:ds="http://schemas.openxmlformats.org/officeDocument/2006/customXml" ds:itemID="{EA8F84E6-416A-40DD-AE78-59D22C6012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NORC at the University of Chicago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O'Malley</dc:creator>
  <cp:keywords/>
  <dc:description/>
  <cp:lastModifiedBy>Melissa Heim Viox</cp:lastModifiedBy>
  <cp:revision/>
  <dcterms:created xsi:type="dcterms:W3CDTF">2026-01-29T14:55:37Z</dcterms:created>
  <dcterms:modified xsi:type="dcterms:W3CDTF">2026-05-08T19:19:25Z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0x010100DAE11642375FD246883713D65245532F</vt:lpwstr>
  </property>
  <property fmtid="{D5CDD505-2E9C-101B-9397-08002B2CF9AE}" pid="3" name="MediaServiceImageTags">
    <vt:lpwstr/>
  </property>
</Properties>
</file>